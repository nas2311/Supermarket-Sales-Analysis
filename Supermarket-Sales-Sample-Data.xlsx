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6900" activeTab="1"/>
  </bookViews>
  <sheets>
    <sheet name="SuperMarket Sales" sheetId="2" r:id="rId1"/>
    <sheet name="cleaned dataset" sheetId="4" r:id="rId2"/>
    <sheet name="logical functions" sheetId="5" r:id="rId3"/>
    <sheet name="lookup functions" sheetId="6" r:id="rId4"/>
    <sheet name="KPI" sheetId="3" r:id="rId5"/>
    <sheet name="PIVOT TABLE" sheetId="8" r:id="rId6"/>
    <sheet name="DASHBOARD" sheetId="9" r:id="rId7"/>
  </sheets>
  <definedNames>
    <definedName name="Slicer_Order_Date">#N/A</definedName>
    <definedName name="Slicer_Total__USD">#N/A</definedName>
    <definedName name="Slicer_Customer_Name">#N/A</definedName>
    <definedName name="Slicer_Total__USD2">#N/A</definedName>
    <definedName name="TAX">'cleaned dataset'!$H$8:$H$77</definedName>
  </definedNames>
  <calcPr calcId="191029"/>
  <pivotCaches>
    <pivotCache cacheId="0" r:id="rId8"/>
    <pivotCache cacheId="1" r:id="rId9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<sst xmlns="http://schemas.openxmlformats.org/spreadsheetml/2006/main" count="449" uniqueCount="211">
  <si>
    <t>Excel Sample Data</t>
  </si>
  <si>
    <t>Supermarket Sales Data</t>
  </si>
  <si>
    <t>Tax</t>
  </si>
  <si>
    <t>Order No</t>
  </si>
  <si>
    <t>Order Date</t>
  </si>
  <si>
    <t>Customer Name</t>
  </si>
  <si>
    <t>Ship Date</t>
  </si>
  <si>
    <t>Retail Price (USD)</t>
  </si>
  <si>
    <t>Order Quantity</t>
  </si>
  <si>
    <t>Tax (USD)</t>
  </si>
  <si>
    <t>Total (USD)</t>
  </si>
  <si>
    <t>1001</t>
  </si>
  <si>
    <t>John Smith</t>
  </si>
  <si>
    <t>1002</t>
  </si>
  <si>
    <t>Jane Doe</t>
  </si>
  <si>
    <t>1003</t>
  </si>
  <si>
    <t>Michael Johnson</t>
  </si>
  <si>
    <t>1004</t>
  </si>
  <si>
    <t>Emily Brown</t>
  </si>
  <si>
    <t>1005</t>
  </si>
  <si>
    <t>David Wilson</t>
  </si>
  <si>
    <t>1006</t>
  </si>
  <si>
    <t>Lisa Taylor</t>
  </si>
  <si>
    <t>1007</t>
  </si>
  <si>
    <t>Daniel Martinez</t>
  </si>
  <si>
    <t>1008</t>
  </si>
  <si>
    <t>Sarah Anderson</t>
  </si>
  <si>
    <t>1009</t>
  </si>
  <si>
    <t>Christopher Thomas</t>
  </si>
  <si>
    <t>1010</t>
  </si>
  <si>
    <t>Kimberly Garcia</t>
  </si>
  <si>
    <t>1011</t>
  </si>
  <si>
    <t>William Hernandez</t>
  </si>
  <si>
    <t>1012</t>
  </si>
  <si>
    <t>Melissa Lopez</t>
  </si>
  <si>
    <t>1013</t>
  </si>
  <si>
    <t>Richard Perez</t>
  </si>
  <si>
    <t>1014</t>
  </si>
  <si>
    <t>Jessica Gonzalez</t>
  </si>
  <si>
    <t>1015</t>
  </si>
  <si>
    <t>Matthew Wilson</t>
  </si>
  <si>
    <t>1016</t>
  </si>
  <si>
    <t>Amanda Martinez</t>
  </si>
  <si>
    <t>1017</t>
  </si>
  <si>
    <t>James Johnson</t>
  </si>
  <si>
    <t>1018</t>
  </si>
  <si>
    <t>Laura Brown</t>
  </si>
  <si>
    <t>1019</t>
  </si>
  <si>
    <t>Daniel Smith</t>
  </si>
  <si>
    <t>1020</t>
  </si>
  <si>
    <t>Jennifer Davis</t>
  </si>
  <si>
    <t>1021</t>
  </si>
  <si>
    <t>Michael Garcia</t>
  </si>
  <si>
    <t>1022</t>
  </si>
  <si>
    <t>Amy Hernandez</t>
  </si>
  <si>
    <t>1023</t>
  </si>
  <si>
    <t>Christopher Rodriguez</t>
  </si>
  <si>
    <t>1024</t>
  </si>
  <si>
    <t>Jessica Martinez</t>
  </si>
  <si>
    <t>1025</t>
  </si>
  <si>
    <t>1026</t>
  </si>
  <si>
    <t>Sarah Smith</t>
  </si>
  <si>
    <t>1027</t>
  </si>
  <si>
    <t>Matthew Johnson</t>
  </si>
  <si>
    <t>1028</t>
  </si>
  <si>
    <t>Emily Davis</t>
  </si>
  <si>
    <t>1029</t>
  </si>
  <si>
    <t>Daniel Wilson</t>
  </si>
  <si>
    <t>1030</t>
  </si>
  <si>
    <t>Jennifer Martinez</t>
  </si>
  <si>
    <t>1031</t>
  </si>
  <si>
    <t>Michael Smith</t>
  </si>
  <si>
    <t>1032</t>
  </si>
  <si>
    <t>Jessica Johnson</t>
  </si>
  <si>
    <t>1033</t>
  </si>
  <si>
    <t>David Brown</t>
  </si>
  <si>
    <t>1034</t>
  </si>
  <si>
    <t>Sarah Garcia</t>
  </si>
  <si>
    <t>1035</t>
  </si>
  <si>
    <t>Matthew Hernandez</t>
  </si>
  <si>
    <t>1036</t>
  </si>
  <si>
    <t>Emily Rodriguez</t>
  </si>
  <si>
    <t>1037</t>
  </si>
  <si>
    <t>Daniel Davis</t>
  </si>
  <si>
    <t>1038</t>
  </si>
  <si>
    <t>Jennifer Smith</t>
  </si>
  <si>
    <t>1039</t>
  </si>
  <si>
    <t>1040</t>
  </si>
  <si>
    <t>1041</t>
  </si>
  <si>
    <t>1042</t>
  </si>
  <si>
    <t>Sarah Johnson</t>
  </si>
  <si>
    <t>1043</t>
  </si>
  <si>
    <t>Matthew Garcia</t>
  </si>
  <si>
    <t>1044</t>
  </si>
  <si>
    <t>1045</t>
  </si>
  <si>
    <t>Daniel Hernandez</t>
  </si>
  <si>
    <t>1046</t>
  </si>
  <si>
    <t>1047</t>
  </si>
  <si>
    <t>Michael Martinez</t>
  </si>
  <si>
    <t>1048</t>
  </si>
  <si>
    <t>Jessica Wilson</t>
  </si>
  <si>
    <t>1049</t>
  </si>
  <si>
    <t>David Rodriguez</t>
  </si>
  <si>
    <t>1050</t>
  </si>
  <si>
    <t>Sarah Gonzalez</t>
  </si>
  <si>
    <t>1051</t>
  </si>
  <si>
    <t>Matthew Smith</t>
  </si>
  <si>
    <t>1052</t>
  </si>
  <si>
    <t>Emily Johnson</t>
  </si>
  <si>
    <t>1053</t>
  </si>
  <si>
    <t>Daniel Brown</t>
  </si>
  <si>
    <t>1054</t>
  </si>
  <si>
    <t>Jennifer Hernandez</t>
  </si>
  <si>
    <t>1055</t>
  </si>
  <si>
    <t>Michael Davis</t>
  </si>
  <si>
    <t>1056</t>
  </si>
  <si>
    <t>Jessica Smith</t>
  </si>
  <si>
    <t>1057</t>
  </si>
  <si>
    <t>David Martinez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</si>
  <si>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</si>
  <si>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</si>
  <si>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</si>
  <si>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</si>
  <si>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</si>
  <si>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</si>
  <si>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</si>
  <si>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</si>
  <si>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</si>
  <si>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</si>
  <si>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</si>
  <si>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</si>
  <si>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</si>
  <si>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SUPERMARKET SALES ANAlYSIS</t>
  </si>
  <si>
    <t>Column1</t>
  </si>
  <si>
    <t>Column2</t>
  </si>
  <si>
    <t>Column3</t>
  </si>
  <si>
    <t>Column4</t>
  </si>
  <si>
    <t>Column5</t>
  </si>
  <si>
    <t>Column6</t>
  </si>
  <si>
    <t>10%</t>
  </si>
  <si>
    <t>Column7</t>
  </si>
  <si>
    <t>Column9</t>
  </si>
  <si>
    <t>Column10</t>
  </si>
  <si>
    <t>DAYS</t>
  </si>
  <si>
    <t>TEXT</t>
  </si>
  <si>
    <t>Sales Before Tax</t>
  </si>
  <si>
    <t>Shipping Days</t>
  </si>
  <si>
    <t>Month</t>
  </si>
  <si>
    <t>LOGICAL FUNCTIONS</t>
  </si>
  <si>
    <t>IF</t>
  </si>
  <si>
    <t>1)If Total &gt; 150 High Value otherwise Normal</t>
  </si>
  <si>
    <t>NESTEDIF</t>
  </si>
  <si>
    <t>If Total &lt; 100 its  low, if &gt;150 then it should be Medium or High</t>
  </si>
  <si>
    <t>SUMIF</t>
  </si>
  <si>
    <t>2)Total Sales Made by John Smith</t>
  </si>
  <si>
    <t>3)Find Total Sales Where Quantity is 3</t>
  </si>
  <si>
    <t>SUMIFS</t>
  </si>
  <si>
    <t>4)Total Sales for John Smith where quantity is 4</t>
  </si>
  <si>
    <t>5)Find Total Sales where Quantity is &gt; 2 and total &gt; 100</t>
  </si>
  <si>
    <t>COUNTIF</t>
  </si>
  <si>
    <t>6)How many Orders belongs to John Smith</t>
  </si>
  <si>
    <t>COUNTIFS</t>
  </si>
  <si>
    <t>7)How many Orders were placed by Emily Brown with Quantity 4</t>
  </si>
  <si>
    <t>8)How many Orders have Quantity 3 and Total above 100</t>
  </si>
  <si>
    <t>AND</t>
  </si>
  <si>
    <t>9)Is Quantity &gt; 2 AND Total &gt; 100</t>
  </si>
  <si>
    <t>AND WITH IF</t>
  </si>
  <si>
    <t>10)If Quantity &gt; 2 AND Total &gt; 100 display "High Value" otherwise "Normal"</t>
  </si>
  <si>
    <t>OR</t>
  </si>
  <si>
    <t>11)If Quantity &gt; 3 OR Total &gt; 200</t>
  </si>
  <si>
    <t>OR WITH IF</t>
  </si>
  <si>
    <t>12)If Quantity &gt; 3 OR Total &gt;200 classify it as an Important Order</t>
  </si>
  <si>
    <t>NOT</t>
  </si>
  <si>
    <t>13)If Quantity &gt; 2</t>
  </si>
  <si>
    <t>NOT WITH IF</t>
  </si>
  <si>
    <t>14)If Quantity is not  &gt; 3 show Normal Quantity</t>
  </si>
  <si>
    <t>IF WITH AND OR</t>
  </si>
  <si>
    <t>15)If Quantity &gt; 2 AND Total &gt; 150 OR Tax &gt; 15 "Normal order" otherwise "Normal order"</t>
  </si>
  <si>
    <t>IF WITH AND NESTEDIF</t>
  </si>
  <si>
    <t>16)Total &gt; 200 AND Quantity &gt; 2 = Premium,Total &gt; 100 = Regular otherwise Basic</t>
  </si>
  <si>
    <t>LOOKUP FUNCTIONS</t>
  </si>
  <si>
    <t>VLOOKUP</t>
  </si>
  <si>
    <t>To return the Customer Name for Order id 1006</t>
  </si>
  <si>
    <t>HLOOKUP</t>
  </si>
  <si>
    <t>Find Total From Order no. 1001</t>
  </si>
  <si>
    <t>XLOOKUP</t>
  </si>
  <si>
    <t>If the Order no. is 1010 find Retail Price</t>
  </si>
  <si>
    <t>MATCH</t>
  </si>
  <si>
    <t>Find the position of "Jessica Wilson"</t>
  </si>
  <si>
    <t>INDEX</t>
  </si>
  <si>
    <t>Find the Total from 15th row</t>
  </si>
  <si>
    <t>MATCH+INDEX</t>
  </si>
  <si>
    <t>Find the shipdate for order no.1010</t>
  </si>
  <si>
    <t>KEY PERFORMANCE INDICATORS</t>
  </si>
  <si>
    <t>1)Total Revenue</t>
  </si>
  <si>
    <t>2)Total No. of Orders</t>
  </si>
  <si>
    <t>3)Total Quantity Sold</t>
  </si>
  <si>
    <t>4)Average Order Value</t>
  </si>
  <si>
    <t>5)Total Tax Calculated using Named Ranges</t>
  </si>
  <si>
    <t>6)Highest sales</t>
  </si>
  <si>
    <t>7)Lowest Sales</t>
  </si>
  <si>
    <t>8)Average shipping days</t>
  </si>
  <si>
    <t>ORDER QUANTITY WITH TOTAL SALES DONE BY CUSTOMERS</t>
  </si>
  <si>
    <t>Sum of Total (USD)</t>
  </si>
  <si>
    <t>Grand Total</t>
  </si>
  <si>
    <t>GROUPING OF MONTHLY TOTAL SALES</t>
  </si>
  <si>
    <t>Jan</t>
  </si>
  <si>
    <t>Feb</t>
  </si>
  <si>
    <t>TOP 10 CUSTOMERS BY SALES</t>
  </si>
  <si>
    <t>CUSTOMERS WITH ORDER NO=2 AND TOTAL &gt;=200</t>
  </si>
  <si>
    <t>Count of Order 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</si>
</sst>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;[Red]0"/>
    <numFmt numFmtId="181" formatCode="dd/mm/yyyy;@"/>
    <numFmt numFmtId="182" formatCode="dd/mm/yyyy"/>
    <numFmt numFmtId="183" formatCode="[$$-409]#,##0.00;\-[$$-409]#,##0.00"/>
    <numFmt numFmtId="184" formatCode="[$$-409]#,##0.00;[Red][$$-409]#,##0.00"/>
    <numFmt numFmtId="185" formatCode="[$$-409]#,##0.00_);[Red]\([$$-409]#,##0.00\)"/>
  </numFmts>
  <fonts count="36">
    <font>
      <sz val="11"/>
      <color theme="1"/>
      <name val="Aptos Narrow"/>
      <charset val="134"/>
      <scheme val="minor"/>
    </font>
    <font>
      <b/>
      <sz val="11"/>
      <color theme="0"/>
      <name val="Lucida Calligraphy"/>
      <charset val="134"/>
    </font>
    <font>
      <sz val="11"/>
      <color theme="1"/>
      <name val="Arial"/>
      <charset val="134"/>
    </font>
    <font>
      <sz val="11"/>
      <color theme="0"/>
      <name val="Lucida Calligraphy"/>
      <charset val="134"/>
    </font>
    <font>
      <sz val="11"/>
      <color theme="0"/>
      <name val="Aptos Narrow"/>
      <charset val="134"/>
      <scheme val="minor"/>
    </font>
    <font>
      <b/>
      <sz val="11"/>
      <color theme="1"/>
      <name val="MV Boli"/>
      <charset val="134"/>
    </font>
    <font>
      <sz val="14"/>
      <color theme="1"/>
      <name val="Lucida Calligraphy"/>
      <charset val="134"/>
    </font>
    <font>
      <b/>
      <sz val="11"/>
      <color theme="1"/>
      <name val="Arial"/>
      <charset val="134"/>
    </font>
    <font>
      <b/>
      <sz val="12"/>
      <color theme="1"/>
      <name val="Lucida Calligraphy"/>
      <charset val="134"/>
    </font>
    <font>
      <b/>
      <sz val="11"/>
      <color theme="1"/>
      <name val="Bahnschrift"/>
      <charset val="134"/>
    </font>
    <font>
      <sz val="11"/>
      <color theme="1"/>
      <name val="Calibri"/>
      <charset val="134"/>
    </font>
    <font>
      <b/>
      <sz val="18"/>
      <color theme="5"/>
      <name val="Algerian"/>
      <charset val="134"/>
    </font>
    <font>
      <b/>
      <sz val="18"/>
      <color theme="3"/>
      <name val="Aptos Narrow"/>
      <charset val="134"/>
      <scheme val="minor"/>
    </font>
    <font>
      <b/>
      <sz val="12"/>
      <color rgb="FFFFFFFF"/>
      <name val="Calibri"/>
      <charset val="134"/>
    </font>
    <font>
      <sz val="11"/>
      <color rgb="FF000000"/>
      <name val="Calibri"/>
      <charset val="134"/>
    </font>
    <font>
      <b/>
      <sz val="12"/>
      <color theme="0"/>
      <name val="Calibri"/>
      <charset val="134"/>
    </font>
    <font>
      <b/>
      <sz val="14"/>
      <color rgb="FF272760"/>
      <name val="Calibri"/>
      <charset val="134"/>
    </font>
    <font>
      <b/>
      <sz val="13"/>
      <color rgb="FF27276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theme="3" tint="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rgb="FF27276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9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0" borderId="17" applyNumberFormat="0" applyAlignment="0" applyProtection="0">
      <alignment vertical="center"/>
    </xf>
    <xf numFmtId="0" fontId="26" fillId="21" borderId="18" applyNumberFormat="0" applyAlignment="0" applyProtection="0">
      <alignment vertical="center"/>
    </xf>
    <xf numFmtId="0" fontId="27" fillId="21" borderId="17" applyNumberFormat="0" applyAlignment="0" applyProtection="0">
      <alignment vertical="center"/>
    </xf>
    <xf numFmtId="0" fontId="28" fillId="22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80" fontId="0" fillId="0" borderId="0" xfId="0" applyNumberFormat="1"/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top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/>
    <xf numFmtId="0" fontId="0" fillId="5" borderId="0" xfId="0" applyFill="1"/>
    <xf numFmtId="0" fontId="0" fillId="6" borderId="0" xfId="0" applyFill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/>
    <xf numFmtId="0" fontId="2" fillId="9" borderId="0" xfId="0" applyFont="1" applyFill="1"/>
    <xf numFmtId="0" fontId="2" fillId="10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7" fillId="3" borderId="0" xfId="0" applyFont="1" applyFill="1"/>
    <xf numFmtId="181" fontId="2" fillId="10" borderId="0" xfId="0" applyNumberFormat="1" applyFont="1" applyFill="1" applyAlignment="1">
      <alignment horizontal="center"/>
    </xf>
    <xf numFmtId="0" fontId="8" fillId="11" borderId="2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2" fillId="12" borderId="0" xfId="0" applyFont="1" applyFill="1"/>
    <xf numFmtId="0" fontId="2" fillId="13" borderId="0" xfId="0" applyFont="1" applyFill="1" applyAlignment="1">
      <alignment horizontal="center"/>
    </xf>
    <xf numFmtId="0" fontId="0" fillId="14" borderId="0" xfId="0" applyFill="1" applyBorder="1"/>
    <xf numFmtId="0" fontId="0" fillId="0" borderId="0" xfId="0" applyBorder="1"/>
    <xf numFmtId="0" fontId="2" fillId="12" borderId="0" xfId="0" applyFont="1" applyFill="1" applyBorder="1"/>
    <xf numFmtId="0" fontId="7" fillId="3" borderId="0" xfId="0" applyFont="1" applyFill="1" applyAlignment="1">
      <alignment horizontal="left"/>
    </xf>
    <xf numFmtId="0" fontId="0" fillId="14" borderId="0" xfId="0" applyFill="1"/>
    <xf numFmtId="0" fontId="9" fillId="3" borderId="0" xfId="0" applyFont="1" applyFill="1"/>
    <xf numFmtId="0" fontId="10" fillId="0" borderId="0" xfId="0" applyFont="1"/>
    <xf numFmtId="0" fontId="11" fillId="15" borderId="8" xfId="10" applyFont="1" applyFill="1" applyBorder="1" applyAlignment="1">
      <alignment horizontal="center" vertical="center"/>
    </xf>
    <xf numFmtId="0" fontId="12" fillId="15" borderId="8" xfId="10" applyFill="1" applyBorder="1" applyAlignment="1">
      <alignment horizontal="center" vertical="center"/>
    </xf>
    <xf numFmtId="0" fontId="13" fillId="16" borderId="9" xfId="0" applyFont="1" applyFill="1" applyBorder="1" applyAlignment="1">
      <alignment horizontal="center" vertical="center"/>
    </xf>
    <xf numFmtId="9" fontId="14" fillId="0" borderId="9" xfId="3" applyFont="1" applyBorder="1" applyAlignment="1">
      <alignment vertical="center"/>
    </xf>
    <xf numFmtId="0" fontId="10" fillId="17" borderId="0" xfId="0" applyFont="1" applyFill="1"/>
    <xf numFmtId="0" fontId="10" fillId="17" borderId="0" xfId="0" applyFont="1" applyFill="1" applyAlignment="1">
      <alignment horizontal="center"/>
    </xf>
    <xf numFmtId="0" fontId="13" fillId="16" borderId="10" xfId="0" applyFont="1" applyFill="1" applyBorder="1" applyAlignment="1">
      <alignment horizontal="center" vertical="center"/>
    </xf>
    <xf numFmtId="0" fontId="13" fillId="16" borderId="11" xfId="0" applyFont="1" applyFill="1" applyBorder="1" applyAlignment="1">
      <alignment horizontal="center" vertical="center"/>
    </xf>
    <xf numFmtId="0" fontId="15" fillId="18" borderId="0" xfId="0" applyFont="1" applyFill="1" applyAlignment="1">
      <alignment horizontal="center"/>
    </xf>
    <xf numFmtId="0" fontId="14" fillId="0" borderId="12" xfId="0" applyNumberFormat="1" applyFont="1" applyBorder="1" applyAlignment="1">
      <alignment horizontal="center" vertical="center"/>
    </xf>
    <xf numFmtId="182" fontId="14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83" fontId="14" fillId="0" borderId="12" xfId="0" applyNumberFormat="1" applyFont="1" applyBorder="1" applyAlignment="1">
      <alignment horizontal="center" vertical="center"/>
    </xf>
    <xf numFmtId="184" fontId="14" fillId="0" borderId="12" xfId="0" applyNumberFormat="1" applyFont="1" applyBorder="1" applyAlignment="1">
      <alignment horizontal="center" vertical="center"/>
    </xf>
    <xf numFmtId="185" fontId="10" fillId="0" borderId="1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4" fillId="0" borderId="13" xfId="0" applyNumberFormat="1" applyFont="1" applyBorder="1" applyAlignment="1">
      <alignment horizontal="center" vertical="center"/>
    </xf>
    <xf numFmtId="182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183" fontId="14" fillId="0" borderId="13" xfId="0" applyNumberFormat="1" applyFont="1" applyBorder="1" applyAlignment="1">
      <alignment horizontal="center" vertical="center"/>
    </xf>
    <xf numFmtId="0" fontId="14" fillId="0" borderId="9" xfId="0" applyNumberFormat="1" applyFont="1" applyBorder="1" applyAlignment="1">
      <alignment vertical="center"/>
    </xf>
    <xf numFmtId="182" fontId="14" fillId="0" borderId="9" xfId="0" applyNumberFormat="1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0" fillId="0" borderId="0" xfId="0" applyFont="1" applyAlignment="1">
      <alignment horizontal="center"/>
    </xf>
    <xf numFmtId="182" fontId="10" fillId="0" borderId="0" xfId="0" applyNumberFormat="1" applyFont="1"/>
    <xf numFmtId="0" fontId="16" fillId="15" borderId="14" xfId="0" applyFont="1" applyFill="1" applyBorder="1" applyAlignment="1">
      <alignment horizontal="centerContinuous" vertical="center"/>
    </xf>
    <xf numFmtId="0" fontId="17" fillId="15" borderId="14" xfId="0" applyFont="1" applyFill="1" applyBorder="1" applyAlignment="1">
      <alignment horizontal="centerContinuous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1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rgb="FF000000"/>
      </font>
      <numFmt numFmtId="0" formatCode="General"/>
      <alignment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rgb="FF000000"/>
      </font>
      <numFmt numFmtId="182" formatCode="dd/mm/yyyy"/>
      <alignment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rgb="FF000000"/>
      </font>
      <alignment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rgb="FF000000"/>
      </font>
      <numFmt numFmtId="182" formatCode="dd/mm/yyyy"/>
      <alignment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rgb="FF000000"/>
      </font>
      <alignment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rgb="FF000000"/>
      </font>
      <alignment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rgb="FF000000"/>
      </font>
      <alignment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rgb="FF000000"/>
      </font>
      <alignment vertical="center"/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theme="1"/>
      </font>
      <alignment horizontal="center"/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7" tint="-0.249977111117893"/>
      </font>
    </dxf>
    <dxf>
      <font>
        <b val="1"/>
        <color theme="7" tint="-0.249977111117893"/>
      </font>
      <border>
        <top style="thin">
          <color theme="7"/>
        </top>
      </border>
    </dxf>
    <dxf>
      <font>
        <b val="1"/>
        <color theme="7" tint="-0.499984740745262"/>
      </font>
      <border>
        <top style="thin">
          <color theme="7"/>
        </top>
        <bottom style="medium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</dxfs>
  <tableStyles count="1" defaultTableStyle="TableStyleMedium2" defaultPivotStyle="PivotStyleLight16">
    <tableStyle name="TableStylePreset1_Accent4" pivot="0" count="7" xr9:uid="{E1C7B2B3-B766-4CA6-BF19-1F9A17DF7709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2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4.xml"/><Relationship Id="rId12" Type="http://schemas.microsoft.com/office/2007/relationships/slicerCache" Target="slicerCaches/slicerCache3.xml"/><Relationship Id="rId11" Type="http://schemas.microsoft.com/office/2007/relationships/slicerCache" Target="slicerCaches/slicerCache2.xml"/><Relationship Id="rId10" Type="http://schemas.microsoft.com/office/2007/relationships/slicerCache" Target="slicerCaches/slicerCach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[Supermarket-Sales-Sample-Data.xlsx]PIVOT TABLE!PivotTable2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>
                <a:latin typeface="Cascadia Code" panose="020B0609020000020004" charset="0"/>
                <a:cs typeface="Cascadia Code" panose="020B0609020000020004" charset="0"/>
              </a:rPr>
              <a:t>SALES AND QUANTITY BY CUSTOMERS</a:t>
            </a:r>
            <a:endParaRPr lang="en-US" altLang="zh-CN">
              <a:latin typeface="Cascadia Code" panose="020B0609020000020004" charset="0"/>
              <a:cs typeface="Cascadia Code" panose="020B06090200000200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621359223301"/>
          <c:y val="0.265740740740741"/>
          <c:w val="0.888543689320388"/>
          <c:h val="0.2970833333333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1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TABLE'!$B$6:$B$57</c:f>
              <c:numCache>
                <c:formatCode>General</c:formatCode>
                <c:ptCount val="51"/>
                <c:pt idx="0">
                  <c:v>164.989</c:v>
                </c:pt>
                <c:pt idx="2">
                  <c:v>142.989</c:v>
                </c:pt>
                <c:pt idx="3">
                  <c:v>98.989</c:v>
                </c:pt>
                <c:pt idx="5">
                  <c:v>219.989</c:v>
                </c:pt>
                <c:pt idx="6">
                  <c:v>164.989</c:v>
                </c:pt>
                <c:pt idx="8">
                  <c:v>219.989</c:v>
                </c:pt>
                <c:pt idx="13">
                  <c:v>472.967</c:v>
                </c:pt>
                <c:pt idx="15">
                  <c:v>219.989</c:v>
                </c:pt>
                <c:pt idx="16">
                  <c:v>307.978</c:v>
                </c:pt>
                <c:pt idx="19">
                  <c:v>32.989</c:v>
                </c:pt>
                <c:pt idx="20">
                  <c:v>219.989</c:v>
                </c:pt>
                <c:pt idx="21">
                  <c:v>164.989</c:v>
                </c:pt>
                <c:pt idx="24">
                  <c:v>142.989</c:v>
                </c:pt>
                <c:pt idx="25">
                  <c:v>142.989</c:v>
                </c:pt>
                <c:pt idx="28">
                  <c:v>219.989</c:v>
                </c:pt>
                <c:pt idx="30">
                  <c:v>219.989</c:v>
                </c:pt>
                <c:pt idx="33">
                  <c:v>307.978</c:v>
                </c:pt>
                <c:pt idx="39">
                  <c:v>219.989</c:v>
                </c:pt>
                <c:pt idx="46">
                  <c:v>164.989</c:v>
                </c:pt>
                <c:pt idx="47">
                  <c:v>142.989</c:v>
                </c:pt>
              </c:numCache>
            </c:numRef>
          </c:val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2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4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TABLE'!$C$6:$C$57</c:f>
              <c:numCache>
                <c:formatCode>General</c:formatCode>
                <c:ptCount val="51"/>
                <c:pt idx="4">
                  <c:v>153.978</c:v>
                </c:pt>
                <c:pt idx="11">
                  <c:v>175.978</c:v>
                </c:pt>
                <c:pt idx="14">
                  <c:v>153.978</c:v>
                </c:pt>
                <c:pt idx="18">
                  <c:v>153.978</c:v>
                </c:pt>
                <c:pt idx="20">
                  <c:v>153.978</c:v>
                </c:pt>
                <c:pt idx="22">
                  <c:v>175.978</c:v>
                </c:pt>
                <c:pt idx="28">
                  <c:v>175.978</c:v>
                </c:pt>
                <c:pt idx="29">
                  <c:v>109.978</c:v>
                </c:pt>
                <c:pt idx="32">
                  <c:v>175.978</c:v>
                </c:pt>
                <c:pt idx="34">
                  <c:v>153.978</c:v>
                </c:pt>
                <c:pt idx="38">
                  <c:v>175.978</c:v>
                </c:pt>
                <c:pt idx="40">
                  <c:v>175.978</c:v>
                </c:pt>
                <c:pt idx="41">
                  <c:v>175.978</c:v>
                </c:pt>
                <c:pt idx="45">
                  <c:v>153.978</c:v>
                </c:pt>
                <c:pt idx="47">
                  <c:v>175.978</c:v>
                </c:pt>
                <c:pt idx="49">
                  <c:v>153.978</c:v>
                </c:pt>
              </c:numCache>
            </c:numRef>
          </c:val>
        </c:ser>
        <c:ser>
          <c:idx val="2"/>
          <c:order val="2"/>
          <c:tx>
            <c:strRef>
              <c:f>'PIVOT TABLE'!$D$4:$D$5</c:f>
              <c:strCache>
                <c:ptCount val="1"/>
                <c:pt idx="0">
                  <c:v>3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6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TABLE'!$D$6:$D$57</c:f>
              <c:numCache>
                <c:formatCode>General</c:formatCode>
                <c:ptCount val="51"/>
                <c:pt idx="1">
                  <c:v>164.967</c:v>
                </c:pt>
                <c:pt idx="6">
                  <c:v>131.967</c:v>
                </c:pt>
                <c:pt idx="7">
                  <c:v>131.967</c:v>
                </c:pt>
                <c:pt idx="12">
                  <c:v>164.967</c:v>
                </c:pt>
                <c:pt idx="17">
                  <c:v>131.967</c:v>
                </c:pt>
                <c:pt idx="21">
                  <c:v>131.967</c:v>
                </c:pt>
                <c:pt idx="26">
                  <c:v>164.967</c:v>
                </c:pt>
                <c:pt idx="31">
                  <c:v>131.967</c:v>
                </c:pt>
                <c:pt idx="35">
                  <c:v>131.967</c:v>
                </c:pt>
                <c:pt idx="36">
                  <c:v>164.967</c:v>
                </c:pt>
                <c:pt idx="41">
                  <c:v>329.967</c:v>
                </c:pt>
                <c:pt idx="42">
                  <c:v>131.967</c:v>
                </c:pt>
                <c:pt idx="43">
                  <c:v>164.967</c:v>
                </c:pt>
                <c:pt idx="44">
                  <c:v>164.967</c:v>
                </c:pt>
                <c:pt idx="48">
                  <c:v>164.967</c:v>
                </c:pt>
              </c:numCache>
            </c:numRef>
          </c:val>
        </c:ser>
        <c:ser>
          <c:idx val="3"/>
          <c:order val="3"/>
          <c:tx>
            <c:strRef>
              <c:f>'PIVOT TABLE'!$E$4:$E$5</c:f>
              <c:strCache>
                <c:ptCount val="1"/>
                <c:pt idx="0">
                  <c:v>4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TABLE'!$E$6:$E$57</c:f>
              <c:numCache>
                <c:formatCode>General</c:formatCode>
                <c:ptCount val="51"/>
                <c:pt idx="4">
                  <c:v>87.956</c:v>
                </c:pt>
                <c:pt idx="10">
                  <c:v>87.956</c:v>
                </c:pt>
                <c:pt idx="14">
                  <c:v>175.912</c:v>
                </c:pt>
                <c:pt idx="26">
                  <c:v>87.956</c:v>
                </c:pt>
                <c:pt idx="36">
                  <c:v>87.956</c:v>
                </c:pt>
                <c:pt idx="37">
                  <c:v>87.956</c:v>
                </c:pt>
                <c:pt idx="48">
                  <c:v>87.956</c:v>
                </c:pt>
              </c:numCache>
            </c:numRef>
          </c:val>
        </c:ser>
        <c:ser>
          <c:idx val="4"/>
          <c:order val="4"/>
          <c:tx>
            <c:strRef>
              <c:f>'PIVOT TABLE'!$F$4:$F$5</c:f>
              <c:strCache>
                <c:ptCount val="1"/>
                <c:pt idx="0">
                  <c:v>5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4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TABLE'!$F$6:$F$57</c:f>
              <c:numCache>
                <c:formatCode>General</c:formatCode>
                <c:ptCount val="51"/>
                <c:pt idx="9">
                  <c:v>164.945</c:v>
                </c:pt>
                <c:pt idx="12">
                  <c:v>164.945</c:v>
                </c:pt>
                <c:pt idx="20">
                  <c:v>164.945</c:v>
                </c:pt>
                <c:pt idx="23">
                  <c:v>164.945</c:v>
                </c:pt>
                <c:pt idx="27">
                  <c:v>164.945</c:v>
                </c:pt>
                <c:pt idx="42">
                  <c:v>164.945</c:v>
                </c:pt>
                <c:pt idx="50">
                  <c:v>164.945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226875"/>
        <c:axId val="115481026"/>
      </c:barChart>
      <c:catAx>
        <c:axId val="994226875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15481026"/>
        <c:crosses val="autoZero"/>
        <c:auto val="1"/>
        <c:lblAlgn val="ctr"/>
        <c:lblOffset val="100"/>
        <c:noMultiLvlLbl val="0"/>
      </c:catAx>
      <c:valAx>
        <c:axId val="11548102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94226875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  <a:alpha val="25000"/>
            </a:schemeClr>
          </a:solidFill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842dc9-8a16-49c0-b499-7ec28dc5066b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[Supermarket-Sales-Sample-Data.xlsx]PIVOT 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MONTHLY SALES</a:t>
            </a:r>
            <a:endParaRPr lang="en-US" altLang="zh-CN"/>
          </a:p>
        </c:rich>
      </c:tx>
      <c:layout>
        <c:manualLayout>
          <c:xMode val="edge"/>
          <c:yMode val="edge"/>
          <c:x val="0.272063854047891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TABLE'!$B$61:$B$62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TABLE'!$A$63:$A$114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TABLE'!$B$63:$B$114</c:f>
              <c:numCache>
                <c:formatCode>General</c:formatCode>
                <c:ptCount val="51"/>
                <c:pt idx="0">
                  <c:v>164.989</c:v>
                </c:pt>
                <c:pt idx="1">
                  <c:v>164.967</c:v>
                </c:pt>
                <c:pt idx="2">
                  <c:v>142.989</c:v>
                </c:pt>
                <c:pt idx="3">
                  <c:v>98.989</c:v>
                </c:pt>
                <c:pt idx="4">
                  <c:v>153.978</c:v>
                </c:pt>
                <c:pt idx="5">
                  <c:v>219.989</c:v>
                </c:pt>
                <c:pt idx="6">
                  <c:v>296.956</c:v>
                </c:pt>
                <c:pt idx="7">
                  <c:v>131.967</c:v>
                </c:pt>
                <c:pt idx="8">
                  <c:v>219.989</c:v>
                </c:pt>
                <c:pt idx="9">
                  <c:v>164.945</c:v>
                </c:pt>
                <c:pt idx="10">
                  <c:v>87.956</c:v>
                </c:pt>
                <c:pt idx="11">
                  <c:v>175.978</c:v>
                </c:pt>
                <c:pt idx="12">
                  <c:v>164.967</c:v>
                </c:pt>
                <c:pt idx="13">
                  <c:v>472.967</c:v>
                </c:pt>
                <c:pt idx="14">
                  <c:v>329.89</c:v>
                </c:pt>
                <c:pt idx="15">
                  <c:v>219.989</c:v>
                </c:pt>
                <c:pt idx="16">
                  <c:v>164.989</c:v>
                </c:pt>
                <c:pt idx="17">
                  <c:v>131.967</c:v>
                </c:pt>
                <c:pt idx="18">
                  <c:v>153.978</c:v>
                </c:pt>
                <c:pt idx="19">
                  <c:v>32.989</c:v>
                </c:pt>
                <c:pt idx="20">
                  <c:v>538.912</c:v>
                </c:pt>
                <c:pt idx="21">
                  <c:v>131.967</c:v>
                </c:pt>
                <c:pt idx="22">
                  <c:v>175.978</c:v>
                </c:pt>
                <c:pt idx="23">
                  <c:v>164.945</c:v>
                </c:pt>
                <c:pt idx="24">
                  <c:v>142.989</c:v>
                </c:pt>
                <c:pt idx="25">
                  <c:v>142.989</c:v>
                </c:pt>
                <c:pt idx="26">
                  <c:v>252.923</c:v>
                </c:pt>
                <c:pt idx="27">
                  <c:v>164.945</c:v>
                </c:pt>
                <c:pt idx="28">
                  <c:v>175.978</c:v>
                </c:pt>
                <c:pt idx="29">
                  <c:v>109.978</c:v>
                </c:pt>
                <c:pt idx="30">
                  <c:v>219.989</c:v>
                </c:pt>
                <c:pt idx="31">
                  <c:v>131.967</c:v>
                </c:pt>
                <c:pt idx="32">
                  <c:v>175.978</c:v>
                </c:pt>
                <c:pt idx="33">
                  <c:v>307.978</c:v>
                </c:pt>
                <c:pt idx="34">
                  <c:v>153.978</c:v>
                </c:pt>
                <c:pt idx="35">
                  <c:v>131.967</c:v>
                </c:pt>
                <c:pt idx="36">
                  <c:v>87.956</c:v>
                </c:pt>
                <c:pt idx="37">
                  <c:v>87.956</c:v>
                </c:pt>
                <c:pt idx="38">
                  <c:v>175.978</c:v>
                </c:pt>
                <c:pt idx="39">
                  <c:v>219.989</c:v>
                </c:pt>
                <c:pt idx="40">
                  <c:v>175.978</c:v>
                </c:pt>
                <c:pt idx="41">
                  <c:v>505.945</c:v>
                </c:pt>
                <c:pt idx="42">
                  <c:v>164.945</c:v>
                </c:pt>
                <c:pt idx="43">
                  <c:v>164.967</c:v>
                </c:pt>
                <c:pt idx="44">
                  <c:v>164.967</c:v>
                </c:pt>
                <c:pt idx="45">
                  <c:v>153.978</c:v>
                </c:pt>
                <c:pt idx="46">
                  <c:v>164.989</c:v>
                </c:pt>
                <c:pt idx="47">
                  <c:v>142.989</c:v>
                </c:pt>
                <c:pt idx="48">
                  <c:v>252.923</c:v>
                </c:pt>
                <c:pt idx="49">
                  <c:v>153.978</c:v>
                </c:pt>
                <c:pt idx="50">
                  <c:v>164.945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TABLE'!$C$61:$C$62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TABLE'!$A$63:$A$114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TABLE'!$C$63:$C$114</c:f>
              <c:numCache>
                <c:formatCode>General</c:formatCode>
                <c:ptCount val="51"/>
                <c:pt idx="4">
                  <c:v>87.956</c:v>
                </c:pt>
                <c:pt idx="12">
                  <c:v>164.945</c:v>
                </c:pt>
                <c:pt idx="16">
                  <c:v>142.989</c:v>
                </c:pt>
                <c:pt idx="21">
                  <c:v>164.989</c:v>
                </c:pt>
                <c:pt idx="28">
                  <c:v>219.989</c:v>
                </c:pt>
                <c:pt idx="36">
                  <c:v>164.967</c:v>
                </c:pt>
                <c:pt idx="42">
                  <c:v>131.967</c:v>
                </c:pt>
                <c:pt idx="47">
                  <c:v>175.978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578791"/>
        <c:axId val="882440063"/>
      </c:lineChart>
      <c:catAx>
        <c:axId val="59257879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82440063"/>
        <c:crosses val="autoZero"/>
        <c:auto val="1"/>
        <c:lblAlgn val="ctr"/>
        <c:lblOffset val="100"/>
        <c:noMultiLvlLbl val="0"/>
      </c:catAx>
      <c:valAx>
        <c:axId val="8824400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92578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2617bb-aaf6-4e22-a2b1-8ac2bf8dc84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10 CUSTOMERS BY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TABLE'!$B$118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TABLE'!$A$119:$A$130</c:f>
              <c:strCache>
                <c:ptCount val="11"/>
                <c:pt idx="0">
                  <c:v>Daniel Hernandez</c:v>
                </c:pt>
                <c:pt idx="1">
                  <c:v>David Rodriguez</c:v>
                </c:pt>
                <c:pt idx="2">
                  <c:v>David Wilson</c:v>
                </c:pt>
                <c:pt idx="3">
                  <c:v>Emily Brown</c:v>
                </c:pt>
                <c:pt idx="4">
                  <c:v>Emily Johnson</c:v>
                </c:pt>
                <c:pt idx="5">
                  <c:v>Jennifer Davis</c:v>
                </c:pt>
                <c:pt idx="6">
                  <c:v>Jennifer Hernandez</c:v>
                </c:pt>
                <c:pt idx="7">
                  <c:v>Jessica Wilson</c:v>
                </c:pt>
                <c:pt idx="8">
                  <c:v>Matthew Garcia</c:v>
                </c:pt>
                <c:pt idx="9">
                  <c:v>Michael Johnson</c:v>
                </c:pt>
                <c:pt idx="10">
                  <c:v>Sarah Gonzalez</c:v>
                </c:pt>
              </c:strCache>
            </c:strRef>
          </c:cat>
          <c:val>
            <c:numRef>
              <c:f>'PIVOT TABLE'!$B$119:$B$130</c:f>
              <c:numCache>
                <c:formatCode>General</c:formatCode>
                <c:ptCount val="11"/>
                <c:pt idx="0">
                  <c:v>296.956</c:v>
                </c:pt>
                <c:pt idx="1">
                  <c:v>329.912</c:v>
                </c:pt>
                <c:pt idx="2">
                  <c:v>472.967</c:v>
                </c:pt>
                <c:pt idx="3">
                  <c:v>329.89</c:v>
                </c:pt>
                <c:pt idx="4">
                  <c:v>307.978</c:v>
                </c:pt>
                <c:pt idx="5">
                  <c:v>538.912</c:v>
                </c:pt>
                <c:pt idx="6">
                  <c:v>296.956</c:v>
                </c:pt>
                <c:pt idx="7">
                  <c:v>395.967</c:v>
                </c:pt>
                <c:pt idx="8">
                  <c:v>307.978</c:v>
                </c:pt>
                <c:pt idx="9">
                  <c:v>505.945</c:v>
                </c:pt>
                <c:pt idx="10">
                  <c:v>318.967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62653261"/>
        <c:axId val="85512909"/>
      </c:barChart>
      <c:catAx>
        <c:axId val="9626532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512909"/>
        <c:crosses val="autoZero"/>
        <c:auto val="1"/>
        <c:lblAlgn val="ctr"/>
        <c:lblOffset val="100"/>
        <c:noMultiLvlLbl val="0"/>
      </c:catAx>
      <c:valAx>
        <c:axId val="855129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65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7b2e950-cc0a-47f4-8e67-e25ae515b25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CUSTOMERS WITH ORDER =2 ,SALES&gt;200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TABLE'!$B$135</c:f>
              <c:strCache>
                <c:ptCount val="1"/>
                <c:pt idx="0">
                  <c:v>Count of Order No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TABLE'!$A$136:$A$149</c:f>
              <c:strCache>
                <c:ptCount val="13"/>
                <c:pt idx="0">
                  <c:v>Daniel Brown</c:v>
                </c:pt>
                <c:pt idx="1">
                  <c:v>Daniel Hernandez</c:v>
                </c:pt>
                <c:pt idx="2">
                  <c:v>David Rodriguez</c:v>
                </c:pt>
                <c:pt idx="3">
                  <c:v>Emily Johnson</c:v>
                </c:pt>
                <c:pt idx="4">
                  <c:v>Jennifer Hernandez</c:v>
                </c:pt>
                <c:pt idx="5">
                  <c:v>Jessica Martinez</c:v>
                </c:pt>
                <c:pt idx="6">
                  <c:v>Jessica Wilson</c:v>
                </c:pt>
                <c:pt idx="7">
                  <c:v>Matthew Garcia</c:v>
                </c:pt>
                <c:pt idx="8">
                  <c:v>Matthew Smith</c:v>
                </c:pt>
                <c:pt idx="9">
                  <c:v>Michael Johnson</c:v>
                </c:pt>
                <c:pt idx="10">
                  <c:v>Michael Martinez</c:v>
                </c:pt>
                <c:pt idx="11">
                  <c:v>Sarah Gonzalez</c:v>
                </c:pt>
                <c:pt idx="12">
                  <c:v>Sarah Johnson</c:v>
                </c:pt>
              </c:strCache>
            </c:strRef>
          </c:cat>
          <c:val>
            <c:numRef>
              <c:f>'PIVOT TABLE'!$B$136:$B$149</c:f>
              <c:numCache>
                <c:formatCode>0;[Red]0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</c:ser>
        <c:ser>
          <c:idx val="1"/>
          <c:order val="1"/>
          <c:tx>
            <c:strRef>
              <c:f>'PIVOT TABLE'!$C$135</c:f>
              <c:strCache>
                <c:ptCount val="1"/>
                <c:pt idx="0">
                  <c:v>Sum of Total (USD)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TABLE'!$A$136:$A$149</c:f>
              <c:strCache>
                <c:ptCount val="13"/>
                <c:pt idx="0">
                  <c:v>Daniel Brown</c:v>
                </c:pt>
                <c:pt idx="1">
                  <c:v>Daniel Hernandez</c:v>
                </c:pt>
                <c:pt idx="2">
                  <c:v>David Rodriguez</c:v>
                </c:pt>
                <c:pt idx="3">
                  <c:v>Emily Johnson</c:v>
                </c:pt>
                <c:pt idx="4">
                  <c:v>Jennifer Hernandez</c:v>
                </c:pt>
                <c:pt idx="5">
                  <c:v>Jessica Martinez</c:v>
                </c:pt>
                <c:pt idx="6">
                  <c:v>Jessica Wilson</c:v>
                </c:pt>
                <c:pt idx="7">
                  <c:v>Matthew Garcia</c:v>
                </c:pt>
                <c:pt idx="8">
                  <c:v>Matthew Smith</c:v>
                </c:pt>
                <c:pt idx="9">
                  <c:v>Michael Johnson</c:v>
                </c:pt>
                <c:pt idx="10">
                  <c:v>Michael Martinez</c:v>
                </c:pt>
                <c:pt idx="11">
                  <c:v>Sarah Gonzalez</c:v>
                </c:pt>
                <c:pt idx="12">
                  <c:v>Sarah Johnson</c:v>
                </c:pt>
              </c:strCache>
            </c:strRef>
          </c:cat>
          <c:val>
            <c:numRef>
              <c:f>'PIVOT TABLE'!$C$136:$C$149</c:f>
              <c:numCache>
                <c:formatCode>General</c:formatCode>
                <c:ptCount val="13"/>
                <c:pt idx="0">
                  <c:v>241.934</c:v>
                </c:pt>
                <c:pt idx="1">
                  <c:v>296.956</c:v>
                </c:pt>
                <c:pt idx="2">
                  <c:v>329.912</c:v>
                </c:pt>
                <c:pt idx="3">
                  <c:v>307.978</c:v>
                </c:pt>
                <c:pt idx="4">
                  <c:v>296.956</c:v>
                </c:pt>
                <c:pt idx="5">
                  <c:v>252.923</c:v>
                </c:pt>
                <c:pt idx="6">
                  <c:v>395.967</c:v>
                </c:pt>
                <c:pt idx="7">
                  <c:v>307.978</c:v>
                </c:pt>
                <c:pt idx="8">
                  <c:v>252.923</c:v>
                </c:pt>
                <c:pt idx="9">
                  <c:v>505.945</c:v>
                </c:pt>
                <c:pt idx="10">
                  <c:v>296.912</c:v>
                </c:pt>
                <c:pt idx="11">
                  <c:v>318.967</c:v>
                </c:pt>
                <c:pt idx="12">
                  <c:v>252.923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e32ee7-95ea-424e-981f-f1521417d2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[Supermarket-Sales-Sample-Data.xlsx]PIVOT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 lang="en-US" altLang="zh-CN">
                <a:latin typeface="Cascadia Code" panose="020B0609020000020004" charset="0"/>
                <a:cs typeface="Cascadia Code" panose="020B0609020000020004" charset="0"/>
              </a:rPr>
              <a:t>SALES AND QUANTITY BY CUSTOMERS</a:t>
            </a:r>
            <a:endParaRPr lang="en-US" altLang="zh-CN">
              <a:latin typeface="Cascadia Code" panose="020B0609020000020004" charset="0"/>
              <a:cs typeface="Cascadia Code" panose="020B06090200000200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2621359223301"/>
          <c:y val="0.265740740740741"/>
          <c:w val="0.888543689320388"/>
          <c:h val="0.2970833333333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TABLE'!$B$4:$B$5</c:f>
              <c:strCache>
                <c:ptCount val="1"/>
                <c:pt idx="0">
                  <c:v>1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TABLE'!$B$6:$B$57</c:f>
              <c:numCache>
                <c:formatCode>General</c:formatCode>
                <c:ptCount val="51"/>
                <c:pt idx="0">
                  <c:v>164.989</c:v>
                </c:pt>
                <c:pt idx="2">
                  <c:v>142.989</c:v>
                </c:pt>
                <c:pt idx="3">
                  <c:v>98.989</c:v>
                </c:pt>
                <c:pt idx="5">
                  <c:v>219.989</c:v>
                </c:pt>
                <c:pt idx="6">
                  <c:v>164.989</c:v>
                </c:pt>
                <c:pt idx="8">
                  <c:v>219.989</c:v>
                </c:pt>
                <c:pt idx="13">
                  <c:v>472.967</c:v>
                </c:pt>
                <c:pt idx="15">
                  <c:v>219.989</c:v>
                </c:pt>
                <c:pt idx="16">
                  <c:v>307.978</c:v>
                </c:pt>
                <c:pt idx="19">
                  <c:v>32.989</c:v>
                </c:pt>
                <c:pt idx="20">
                  <c:v>219.989</c:v>
                </c:pt>
                <c:pt idx="21">
                  <c:v>164.989</c:v>
                </c:pt>
                <c:pt idx="24">
                  <c:v>142.989</c:v>
                </c:pt>
                <c:pt idx="25">
                  <c:v>142.989</c:v>
                </c:pt>
                <c:pt idx="28">
                  <c:v>219.989</c:v>
                </c:pt>
                <c:pt idx="30">
                  <c:v>219.989</c:v>
                </c:pt>
                <c:pt idx="33">
                  <c:v>307.978</c:v>
                </c:pt>
                <c:pt idx="39">
                  <c:v>219.989</c:v>
                </c:pt>
                <c:pt idx="46">
                  <c:v>164.989</c:v>
                </c:pt>
                <c:pt idx="47">
                  <c:v>142.989</c:v>
                </c:pt>
              </c:numCache>
            </c:numRef>
          </c:val>
        </c:ser>
        <c:ser>
          <c:idx val="1"/>
          <c:order val="1"/>
          <c:tx>
            <c:strRef>
              <c:f>'PIVOT TABLE'!$C$4:$C$5</c:f>
              <c:strCache>
                <c:ptCount val="1"/>
                <c:pt idx="0">
                  <c:v>2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4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TABLE'!$C$6:$C$57</c:f>
              <c:numCache>
                <c:formatCode>General</c:formatCode>
                <c:ptCount val="51"/>
                <c:pt idx="4">
                  <c:v>153.978</c:v>
                </c:pt>
                <c:pt idx="11">
                  <c:v>175.978</c:v>
                </c:pt>
                <c:pt idx="14">
                  <c:v>153.978</c:v>
                </c:pt>
                <c:pt idx="18">
                  <c:v>153.978</c:v>
                </c:pt>
                <c:pt idx="20">
                  <c:v>153.978</c:v>
                </c:pt>
                <c:pt idx="22">
                  <c:v>175.978</c:v>
                </c:pt>
                <c:pt idx="28">
                  <c:v>175.978</c:v>
                </c:pt>
                <c:pt idx="29">
                  <c:v>109.978</c:v>
                </c:pt>
                <c:pt idx="32">
                  <c:v>175.978</c:v>
                </c:pt>
                <c:pt idx="34">
                  <c:v>153.978</c:v>
                </c:pt>
                <c:pt idx="38">
                  <c:v>175.978</c:v>
                </c:pt>
                <c:pt idx="40">
                  <c:v>175.978</c:v>
                </c:pt>
                <c:pt idx="41">
                  <c:v>175.978</c:v>
                </c:pt>
                <c:pt idx="45">
                  <c:v>153.978</c:v>
                </c:pt>
                <c:pt idx="47">
                  <c:v>175.978</c:v>
                </c:pt>
                <c:pt idx="49">
                  <c:v>153.978</c:v>
                </c:pt>
              </c:numCache>
            </c:numRef>
          </c:val>
        </c:ser>
        <c:ser>
          <c:idx val="2"/>
          <c:order val="2"/>
          <c:tx>
            <c:strRef>
              <c:f>'PIVOT TABLE'!$D$4:$D$5</c:f>
              <c:strCache>
                <c:ptCount val="1"/>
                <c:pt idx="0">
                  <c:v>3</c:v>
                </c:pt>
              </c:strCache>
            </c:strRef>
          </c:tx>
          <c:spPr>
            <a:gradFill>
              <a:gsLst>
                <a:gs pos="0">
                  <a:schemeClr val="accent5"/>
                </a:gs>
                <a:gs pos="100000">
                  <a:schemeClr val="accent6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TABLE'!$D$6:$D$57</c:f>
              <c:numCache>
                <c:formatCode>General</c:formatCode>
                <c:ptCount val="51"/>
                <c:pt idx="1">
                  <c:v>164.967</c:v>
                </c:pt>
                <c:pt idx="6">
                  <c:v>131.967</c:v>
                </c:pt>
                <c:pt idx="7">
                  <c:v>131.967</c:v>
                </c:pt>
                <c:pt idx="12">
                  <c:v>164.967</c:v>
                </c:pt>
                <c:pt idx="17">
                  <c:v>131.967</c:v>
                </c:pt>
                <c:pt idx="21">
                  <c:v>131.967</c:v>
                </c:pt>
                <c:pt idx="26">
                  <c:v>164.967</c:v>
                </c:pt>
                <c:pt idx="31">
                  <c:v>131.967</c:v>
                </c:pt>
                <c:pt idx="35">
                  <c:v>131.967</c:v>
                </c:pt>
                <c:pt idx="36">
                  <c:v>164.967</c:v>
                </c:pt>
                <c:pt idx="41">
                  <c:v>329.967</c:v>
                </c:pt>
                <c:pt idx="42">
                  <c:v>131.967</c:v>
                </c:pt>
                <c:pt idx="43">
                  <c:v>164.967</c:v>
                </c:pt>
                <c:pt idx="44">
                  <c:v>164.967</c:v>
                </c:pt>
                <c:pt idx="48">
                  <c:v>164.967</c:v>
                </c:pt>
              </c:numCache>
            </c:numRef>
          </c:val>
        </c:ser>
        <c:ser>
          <c:idx val="3"/>
          <c:order val="3"/>
          <c:tx>
            <c:strRef>
              <c:f>'PIVOT TABLE'!$E$4:$E$5</c:f>
              <c:strCache>
                <c:ptCount val="1"/>
                <c:pt idx="0">
                  <c:v>4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2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TABLE'!$E$6:$E$57</c:f>
              <c:numCache>
                <c:formatCode>General</c:formatCode>
                <c:ptCount val="51"/>
                <c:pt idx="4">
                  <c:v>87.956</c:v>
                </c:pt>
                <c:pt idx="10">
                  <c:v>87.956</c:v>
                </c:pt>
                <c:pt idx="14">
                  <c:v>175.912</c:v>
                </c:pt>
                <c:pt idx="26">
                  <c:v>87.956</c:v>
                </c:pt>
                <c:pt idx="36">
                  <c:v>87.956</c:v>
                </c:pt>
                <c:pt idx="37">
                  <c:v>87.956</c:v>
                </c:pt>
                <c:pt idx="48">
                  <c:v>87.956</c:v>
                </c:pt>
              </c:numCache>
            </c:numRef>
          </c:val>
        </c:ser>
        <c:ser>
          <c:idx val="4"/>
          <c:order val="4"/>
          <c:tx>
            <c:strRef>
              <c:f>'PIVOT TABLE'!$F$4:$F$5</c:f>
              <c:strCache>
                <c:ptCount val="1"/>
                <c:pt idx="0">
                  <c:v>5</c:v>
                </c:pt>
              </c:strCache>
            </c:strRef>
          </c:tx>
          <c:spPr>
            <a:gradFill>
              <a:gsLst>
                <a:gs pos="0">
                  <a:schemeClr val="accent3"/>
                </a:gs>
                <a:gs pos="100000">
                  <a:schemeClr val="accent4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TABLE'!$A$6:$A$57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TABLE'!$F$6:$F$57</c:f>
              <c:numCache>
                <c:formatCode>General</c:formatCode>
                <c:ptCount val="51"/>
                <c:pt idx="9">
                  <c:v>164.945</c:v>
                </c:pt>
                <c:pt idx="12">
                  <c:v>164.945</c:v>
                </c:pt>
                <c:pt idx="20">
                  <c:v>164.945</c:v>
                </c:pt>
                <c:pt idx="23">
                  <c:v>164.945</c:v>
                </c:pt>
                <c:pt idx="27">
                  <c:v>164.945</c:v>
                </c:pt>
                <c:pt idx="42">
                  <c:v>164.945</c:v>
                </c:pt>
                <c:pt idx="50">
                  <c:v>164.945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226875"/>
        <c:axId val="115481026"/>
      </c:barChart>
      <c:catAx>
        <c:axId val="994226875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15481026"/>
        <c:crosses val="autoZero"/>
        <c:auto val="1"/>
        <c:lblAlgn val="ctr"/>
        <c:lblOffset val="100"/>
        <c:noMultiLvlLbl val="0"/>
      </c:catAx>
      <c:valAx>
        <c:axId val="11548102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94226875"/>
        <c:crosses val="autoZero"/>
        <c:crossBetween val="between"/>
      </c:valAx>
      <c:spPr>
        <a:noFill/>
        <a:ln w="6350">
          <a:solidFill>
            <a:schemeClr val="tx1">
              <a:lumMod val="50000"/>
              <a:lumOff val="50000"/>
              <a:alpha val="25000"/>
            </a:schemeClr>
          </a:solidFill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67949c4-557a-4848-8de9-bf3fc54137d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[Supermarket-Sales-Sample-Data.xlsx]PIVOT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MONTHLY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TABLE'!$B$61:$B$62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'PIVOT TABLE'!$A$63:$A$114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TABLE'!$B$63:$B$114</c:f>
              <c:numCache>
                <c:formatCode>General</c:formatCode>
                <c:ptCount val="51"/>
                <c:pt idx="0">
                  <c:v>164.989</c:v>
                </c:pt>
                <c:pt idx="1">
                  <c:v>164.967</c:v>
                </c:pt>
                <c:pt idx="2">
                  <c:v>142.989</c:v>
                </c:pt>
                <c:pt idx="3">
                  <c:v>98.989</c:v>
                </c:pt>
                <c:pt idx="4">
                  <c:v>153.978</c:v>
                </c:pt>
                <c:pt idx="5">
                  <c:v>219.989</c:v>
                </c:pt>
                <c:pt idx="6">
                  <c:v>296.956</c:v>
                </c:pt>
                <c:pt idx="7">
                  <c:v>131.967</c:v>
                </c:pt>
                <c:pt idx="8">
                  <c:v>219.989</c:v>
                </c:pt>
                <c:pt idx="9">
                  <c:v>164.945</c:v>
                </c:pt>
                <c:pt idx="10">
                  <c:v>87.956</c:v>
                </c:pt>
                <c:pt idx="11">
                  <c:v>175.978</c:v>
                </c:pt>
                <c:pt idx="12">
                  <c:v>164.967</c:v>
                </c:pt>
                <c:pt idx="13">
                  <c:v>472.967</c:v>
                </c:pt>
                <c:pt idx="14">
                  <c:v>329.89</c:v>
                </c:pt>
                <c:pt idx="15">
                  <c:v>219.989</c:v>
                </c:pt>
                <c:pt idx="16">
                  <c:v>164.989</c:v>
                </c:pt>
                <c:pt idx="17">
                  <c:v>131.967</c:v>
                </c:pt>
                <c:pt idx="18">
                  <c:v>153.978</c:v>
                </c:pt>
                <c:pt idx="19">
                  <c:v>32.989</c:v>
                </c:pt>
                <c:pt idx="20">
                  <c:v>538.912</c:v>
                </c:pt>
                <c:pt idx="21">
                  <c:v>131.967</c:v>
                </c:pt>
                <c:pt idx="22">
                  <c:v>175.978</c:v>
                </c:pt>
                <c:pt idx="23">
                  <c:v>164.945</c:v>
                </c:pt>
                <c:pt idx="24">
                  <c:v>142.989</c:v>
                </c:pt>
                <c:pt idx="25">
                  <c:v>142.989</c:v>
                </c:pt>
                <c:pt idx="26">
                  <c:v>252.923</c:v>
                </c:pt>
                <c:pt idx="27">
                  <c:v>164.945</c:v>
                </c:pt>
                <c:pt idx="28">
                  <c:v>175.978</c:v>
                </c:pt>
                <c:pt idx="29">
                  <c:v>109.978</c:v>
                </c:pt>
                <c:pt idx="30">
                  <c:v>219.989</c:v>
                </c:pt>
                <c:pt idx="31">
                  <c:v>131.967</c:v>
                </c:pt>
                <c:pt idx="32">
                  <c:v>175.978</c:v>
                </c:pt>
                <c:pt idx="33">
                  <c:v>307.978</c:v>
                </c:pt>
                <c:pt idx="34">
                  <c:v>153.978</c:v>
                </c:pt>
                <c:pt idx="35">
                  <c:v>131.967</c:v>
                </c:pt>
                <c:pt idx="36">
                  <c:v>87.956</c:v>
                </c:pt>
                <c:pt idx="37">
                  <c:v>87.956</c:v>
                </c:pt>
                <c:pt idx="38">
                  <c:v>175.978</c:v>
                </c:pt>
                <c:pt idx="39">
                  <c:v>219.989</c:v>
                </c:pt>
                <c:pt idx="40">
                  <c:v>175.978</c:v>
                </c:pt>
                <c:pt idx="41">
                  <c:v>505.945</c:v>
                </c:pt>
                <c:pt idx="42">
                  <c:v>164.945</c:v>
                </c:pt>
                <c:pt idx="43">
                  <c:v>164.967</c:v>
                </c:pt>
                <c:pt idx="44">
                  <c:v>164.967</c:v>
                </c:pt>
                <c:pt idx="45">
                  <c:v>153.978</c:v>
                </c:pt>
                <c:pt idx="46">
                  <c:v>164.989</c:v>
                </c:pt>
                <c:pt idx="47">
                  <c:v>142.989</c:v>
                </c:pt>
                <c:pt idx="48">
                  <c:v>252.923</c:v>
                </c:pt>
                <c:pt idx="49">
                  <c:v>153.978</c:v>
                </c:pt>
                <c:pt idx="50">
                  <c:v>164.945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TABLE'!$C$61:$C$62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TABLE'!$A$63:$A$114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TABLE'!$C$63:$C$114</c:f>
              <c:numCache>
                <c:formatCode>General</c:formatCode>
                <c:ptCount val="51"/>
                <c:pt idx="4">
                  <c:v>87.956</c:v>
                </c:pt>
                <c:pt idx="12">
                  <c:v>164.945</c:v>
                </c:pt>
                <c:pt idx="16">
                  <c:v>142.989</c:v>
                </c:pt>
                <c:pt idx="21">
                  <c:v>164.989</c:v>
                </c:pt>
                <c:pt idx="28">
                  <c:v>219.989</c:v>
                </c:pt>
                <c:pt idx="36">
                  <c:v>164.967</c:v>
                </c:pt>
                <c:pt idx="42">
                  <c:v>131.967</c:v>
                </c:pt>
                <c:pt idx="47">
                  <c:v>175.978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578791"/>
        <c:axId val="882440063"/>
      </c:lineChart>
      <c:catAx>
        <c:axId val="59257879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82440063"/>
        <c:crosses val="autoZero"/>
        <c:auto val="1"/>
        <c:lblAlgn val="ctr"/>
        <c:lblOffset val="100"/>
        <c:noMultiLvlLbl val="0"/>
      </c:catAx>
      <c:valAx>
        <c:axId val="882440063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Bahnschrift" panose="020B0502040204020203" charset="0"/>
                    <a:ea typeface="+mn-ea"/>
                    <a:cs typeface="Bahnschrift" panose="020B0502040204020203" charset="0"/>
                  </a:rPr>
                  <a:t>SALES 0 TO 350</a:t>
                </a:r>
                <a:endParaRPr lang="en-US" altLang="zh-CN">
                  <a:solidFill>
                    <a:schemeClr val="tx1"/>
                  </a:solidFill>
                  <a:latin typeface="Bahnschrift" panose="020B0502040204020203" charset="0"/>
                  <a:ea typeface="+mn-ea"/>
                  <a:cs typeface="Bahnschrift" panose="020B0502040204020203" charset="0"/>
                </a:endParaRPr>
              </a:p>
            </c:rich>
          </c:tx>
          <c:layout/>
          <c:overlay val="0"/>
          <c:spPr>
            <a:noFill/>
            <a:ln w="12700" cap="flat" cmpd="sng" algn="ctr">
              <a:solidFill>
                <a:srgbClr val="156082"/>
              </a:solidFill>
              <a:prstDash val="dash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title>
        <c:numFmt formatCode="#,##0_);[Red]\(#,##0\)" sourceLinked="0"/>
        <c:majorTickMark val="none"/>
        <c:minorTickMark val="none"/>
        <c:tickLblPos val="nextTo"/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92578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7fabd1-5c98-4f84-8912-a2c291aca78e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[Supermarket-Sales-Sample-Data.xlsx]PIVOT TABLE!PivotTable3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10 CUSTOMERS BY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TABLE'!$B$118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TABLE'!$A$119:$A$130</c:f>
              <c:strCache>
                <c:ptCount val="11"/>
                <c:pt idx="0">
                  <c:v>Daniel Hernandez</c:v>
                </c:pt>
                <c:pt idx="1">
                  <c:v>David Rodriguez</c:v>
                </c:pt>
                <c:pt idx="2">
                  <c:v>David Wilson</c:v>
                </c:pt>
                <c:pt idx="3">
                  <c:v>Emily Brown</c:v>
                </c:pt>
                <c:pt idx="4">
                  <c:v>Emily Johnson</c:v>
                </c:pt>
                <c:pt idx="5">
                  <c:v>Jennifer Davis</c:v>
                </c:pt>
                <c:pt idx="6">
                  <c:v>Jennifer Hernandez</c:v>
                </c:pt>
                <c:pt idx="7">
                  <c:v>Jessica Wilson</c:v>
                </c:pt>
                <c:pt idx="8">
                  <c:v>Matthew Garcia</c:v>
                </c:pt>
                <c:pt idx="9">
                  <c:v>Michael Johnson</c:v>
                </c:pt>
                <c:pt idx="10">
                  <c:v>Sarah Gonzalez</c:v>
                </c:pt>
              </c:strCache>
            </c:strRef>
          </c:cat>
          <c:val>
            <c:numRef>
              <c:f>'PIVOT TABLE'!$B$119:$B$130</c:f>
              <c:numCache>
                <c:formatCode>General</c:formatCode>
                <c:ptCount val="11"/>
                <c:pt idx="0">
                  <c:v>296.956</c:v>
                </c:pt>
                <c:pt idx="1">
                  <c:v>329.912</c:v>
                </c:pt>
                <c:pt idx="2">
                  <c:v>472.967</c:v>
                </c:pt>
                <c:pt idx="3">
                  <c:v>329.89</c:v>
                </c:pt>
                <c:pt idx="4">
                  <c:v>307.978</c:v>
                </c:pt>
                <c:pt idx="5">
                  <c:v>538.912</c:v>
                </c:pt>
                <c:pt idx="6">
                  <c:v>296.956</c:v>
                </c:pt>
                <c:pt idx="7">
                  <c:v>395.967</c:v>
                </c:pt>
                <c:pt idx="8">
                  <c:v>307.978</c:v>
                </c:pt>
                <c:pt idx="9">
                  <c:v>505.945</c:v>
                </c:pt>
                <c:pt idx="10">
                  <c:v>318.967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62653261"/>
        <c:axId val="85512909"/>
      </c:barChart>
      <c:catAx>
        <c:axId val="9626532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512909"/>
        <c:crosses val="autoZero"/>
        <c:auto val="1"/>
        <c:lblAlgn val="ctr"/>
        <c:lblOffset val="100"/>
        <c:noMultiLvlLbl val="0"/>
      </c:catAx>
      <c:valAx>
        <c:axId val="8551290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26532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140516-785b-4f59-98d1-6713a4de691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[Supermarket-Sales-Sample-Data.xlsx]PIVOT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CUSTOMERS WITH ORDER =2 ,SALES&gt;200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TABLE'!$B$135</c:f>
              <c:strCache>
                <c:ptCount val="1"/>
                <c:pt idx="0">
                  <c:v>Count of Order No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TABLE'!$A$136:$A$149</c:f>
              <c:strCache>
                <c:ptCount val="13"/>
                <c:pt idx="0">
                  <c:v>Daniel Brown</c:v>
                </c:pt>
                <c:pt idx="1">
                  <c:v>Daniel Hernandez</c:v>
                </c:pt>
                <c:pt idx="2">
                  <c:v>David Rodriguez</c:v>
                </c:pt>
                <c:pt idx="3">
                  <c:v>Emily Johnson</c:v>
                </c:pt>
                <c:pt idx="4">
                  <c:v>Jennifer Hernandez</c:v>
                </c:pt>
                <c:pt idx="5">
                  <c:v>Jessica Martinez</c:v>
                </c:pt>
                <c:pt idx="6">
                  <c:v>Jessica Wilson</c:v>
                </c:pt>
                <c:pt idx="7">
                  <c:v>Matthew Garcia</c:v>
                </c:pt>
                <c:pt idx="8">
                  <c:v>Matthew Smith</c:v>
                </c:pt>
                <c:pt idx="9">
                  <c:v>Michael Johnson</c:v>
                </c:pt>
                <c:pt idx="10">
                  <c:v>Michael Martinez</c:v>
                </c:pt>
                <c:pt idx="11">
                  <c:v>Sarah Gonzalez</c:v>
                </c:pt>
                <c:pt idx="12">
                  <c:v>Sarah Johnson</c:v>
                </c:pt>
              </c:strCache>
            </c:strRef>
          </c:cat>
          <c:val>
            <c:numRef>
              <c:f>'PIVOT TABLE'!$B$136:$B$149</c:f>
              <c:numCache>
                <c:formatCode>0;[Red]0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</c:numCache>
            </c:numRef>
          </c:val>
        </c:ser>
        <c:ser>
          <c:idx val="1"/>
          <c:order val="1"/>
          <c:tx>
            <c:strRef>
              <c:f>'PIVOT TABLE'!$C$135</c:f>
              <c:strCache>
                <c:ptCount val="1"/>
                <c:pt idx="0">
                  <c:v>Sum of Total (USD)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0">
                    <a:schemeClr val="accent2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0">
                    <a:schemeClr val="accent3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0">
                    <a:schemeClr val="accent4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60000"/>
                      </a:schemeClr>
                    </a:gs>
                    <a:gs pos="100000">
                      <a:schemeClr val="accent4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0">
                    <a:schemeClr val="accent5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0">
                    <a:schemeClr val="accent6">
                      <a:lumMod val="60000"/>
                      <a:lumMod val="40000"/>
                      <a:lumOff val="60000"/>
                    </a:schemeClr>
                  </a:gs>
                  <a:gs pos="9000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60000"/>
                      </a:schemeClr>
                    </a:gs>
                    <a:gs pos="100000">
                      <a:schemeClr val="accent6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2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lumMod val="40000"/>
                      <a:lumOff val="60000"/>
                    </a:schemeClr>
                  </a:gs>
                  <a:gs pos="9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TABLE'!$A$136:$A$149</c:f>
              <c:strCache>
                <c:ptCount val="13"/>
                <c:pt idx="0">
                  <c:v>Daniel Brown</c:v>
                </c:pt>
                <c:pt idx="1">
                  <c:v>Daniel Hernandez</c:v>
                </c:pt>
                <c:pt idx="2">
                  <c:v>David Rodriguez</c:v>
                </c:pt>
                <c:pt idx="3">
                  <c:v>Emily Johnson</c:v>
                </c:pt>
                <c:pt idx="4">
                  <c:v>Jennifer Hernandez</c:v>
                </c:pt>
                <c:pt idx="5">
                  <c:v>Jessica Martinez</c:v>
                </c:pt>
                <c:pt idx="6">
                  <c:v>Jessica Wilson</c:v>
                </c:pt>
                <c:pt idx="7">
                  <c:v>Matthew Garcia</c:v>
                </c:pt>
                <c:pt idx="8">
                  <c:v>Matthew Smith</c:v>
                </c:pt>
                <c:pt idx="9">
                  <c:v>Michael Johnson</c:v>
                </c:pt>
                <c:pt idx="10">
                  <c:v>Michael Martinez</c:v>
                </c:pt>
                <c:pt idx="11">
                  <c:v>Sarah Gonzalez</c:v>
                </c:pt>
                <c:pt idx="12">
                  <c:v>Sarah Johnson</c:v>
                </c:pt>
              </c:strCache>
            </c:strRef>
          </c:cat>
          <c:val>
            <c:numRef>
              <c:f>'PIVOT TABLE'!$C$136:$C$149</c:f>
              <c:numCache>
                <c:formatCode>General</c:formatCode>
                <c:ptCount val="13"/>
                <c:pt idx="0">
                  <c:v>241.934</c:v>
                </c:pt>
                <c:pt idx="1">
                  <c:v>296.956</c:v>
                </c:pt>
                <c:pt idx="2">
                  <c:v>329.912</c:v>
                </c:pt>
                <c:pt idx="3">
                  <c:v>307.978</c:v>
                </c:pt>
                <c:pt idx="4">
                  <c:v>296.956</c:v>
                </c:pt>
                <c:pt idx="5">
                  <c:v>252.923</c:v>
                </c:pt>
                <c:pt idx="6">
                  <c:v>395.967</c:v>
                </c:pt>
                <c:pt idx="7">
                  <c:v>307.978</c:v>
                </c:pt>
                <c:pt idx="8">
                  <c:v>252.923</c:v>
                </c:pt>
                <c:pt idx="9">
                  <c:v>505.945</c:v>
                </c:pt>
                <c:pt idx="10">
                  <c:v>296.912</c:v>
                </c:pt>
                <c:pt idx="11">
                  <c:v>318.967</c:v>
                </c:pt>
                <c:pt idx="12">
                  <c:v>252.923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5549b4-332b-47b4-8263-dc7abd37d4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[Supermarket-Sales-Sample-Data.xlsx]PIVOT TABLE!PivotTable1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MONTHLY SALES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TABLE'!$B$61:$B$62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TABLE'!$A$63:$A$114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TABLE'!$B$63:$B$114</c:f>
              <c:numCache>
                <c:formatCode>General</c:formatCode>
                <c:ptCount val="51"/>
                <c:pt idx="0">
                  <c:v>164.989</c:v>
                </c:pt>
                <c:pt idx="1">
                  <c:v>164.967</c:v>
                </c:pt>
                <c:pt idx="2">
                  <c:v>142.989</c:v>
                </c:pt>
                <c:pt idx="3">
                  <c:v>98.989</c:v>
                </c:pt>
                <c:pt idx="4">
                  <c:v>153.978</c:v>
                </c:pt>
                <c:pt idx="5">
                  <c:v>219.989</c:v>
                </c:pt>
                <c:pt idx="6">
                  <c:v>296.956</c:v>
                </c:pt>
                <c:pt idx="7">
                  <c:v>131.967</c:v>
                </c:pt>
                <c:pt idx="8">
                  <c:v>219.989</c:v>
                </c:pt>
                <c:pt idx="9">
                  <c:v>164.945</c:v>
                </c:pt>
                <c:pt idx="10">
                  <c:v>87.956</c:v>
                </c:pt>
                <c:pt idx="11">
                  <c:v>175.978</c:v>
                </c:pt>
                <c:pt idx="12">
                  <c:v>164.967</c:v>
                </c:pt>
                <c:pt idx="13">
                  <c:v>472.967</c:v>
                </c:pt>
                <c:pt idx="14">
                  <c:v>329.89</c:v>
                </c:pt>
                <c:pt idx="15">
                  <c:v>219.989</c:v>
                </c:pt>
                <c:pt idx="16">
                  <c:v>164.989</c:v>
                </c:pt>
                <c:pt idx="17">
                  <c:v>131.967</c:v>
                </c:pt>
                <c:pt idx="18">
                  <c:v>153.978</c:v>
                </c:pt>
                <c:pt idx="19">
                  <c:v>32.989</c:v>
                </c:pt>
                <c:pt idx="20">
                  <c:v>538.912</c:v>
                </c:pt>
                <c:pt idx="21">
                  <c:v>131.967</c:v>
                </c:pt>
                <c:pt idx="22">
                  <c:v>175.978</c:v>
                </c:pt>
                <c:pt idx="23">
                  <c:v>164.945</c:v>
                </c:pt>
                <c:pt idx="24">
                  <c:v>142.989</c:v>
                </c:pt>
                <c:pt idx="25">
                  <c:v>142.989</c:v>
                </c:pt>
                <c:pt idx="26">
                  <c:v>252.923</c:v>
                </c:pt>
                <c:pt idx="27">
                  <c:v>164.945</c:v>
                </c:pt>
                <c:pt idx="28">
                  <c:v>175.978</c:v>
                </c:pt>
                <c:pt idx="29">
                  <c:v>109.978</c:v>
                </c:pt>
                <c:pt idx="30">
                  <c:v>219.989</c:v>
                </c:pt>
                <c:pt idx="31">
                  <c:v>131.967</c:v>
                </c:pt>
                <c:pt idx="32">
                  <c:v>175.978</c:v>
                </c:pt>
                <c:pt idx="33">
                  <c:v>307.978</c:v>
                </c:pt>
                <c:pt idx="34">
                  <c:v>153.978</c:v>
                </c:pt>
                <c:pt idx="35">
                  <c:v>131.967</c:v>
                </c:pt>
                <c:pt idx="36">
                  <c:v>87.956</c:v>
                </c:pt>
                <c:pt idx="37">
                  <c:v>87.956</c:v>
                </c:pt>
                <c:pt idx="38">
                  <c:v>175.978</c:v>
                </c:pt>
                <c:pt idx="39">
                  <c:v>219.989</c:v>
                </c:pt>
                <c:pt idx="40">
                  <c:v>175.978</c:v>
                </c:pt>
                <c:pt idx="41">
                  <c:v>505.945</c:v>
                </c:pt>
                <c:pt idx="42">
                  <c:v>164.945</c:v>
                </c:pt>
                <c:pt idx="43">
                  <c:v>164.967</c:v>
                </c:pt>
                <c:pt idx="44">
                  <c:v>164.967</c:v>
                </c:pt>
                <c:pt idx="45">
                  <c:v>153.978</c:v>
                </c:pt>
                <c:pt idx="46">
                  <c:v>164.989</c:v>
                </c:pt>
                <c:pt idx="47">
                  <c:v>142.989</c:v>
                </c:pt>
                <c:pt idx="48">
                  <c:v>252.923</c:v>
                </c:pt>
                <c:pt idx="49">
                  <c:v>153.978</c:v>
                </c:pt>
                <c:pt idx="50">
                  <c:v>164.945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TABLE'!$C$61:$C$62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TABLE'!$A$63:$A$114</c:f>
              <c:strCache>
                <c:ptCount val="51"/>
                <c:pt idx="0">
                  <c:v>Amanda Martinez</c:v>
                </c:pt>
                <c:pt idx="1">
                  <c:v>Amy Hernandez</c:v>
                </c:pt>
                <c:pt idx="2">
                  <c:v>Christopher Rodriguez</c:v>
                </c:pt>
                <c:pt idx="3">
                  <c:v>Christopher Thomas</c:v>
                </c:pt>
                <c:pt idx="4">
                  <c:v>Daniel Brown</c:v>
                </c:pt>
                <c:pt idx="5">
                  <c:v>Daniel Davis</c:v>
                </c:pt>
                <c:pt idx="6">
                  <c:v>Daniel Hernandez</c:v>
                </c:pt>
                <c:pt idx="7">
                  <c:v>Daniel Martinez</c:v>
                </c:pt>
                <c:pt idx="8">
                  <c:v>Daniel Smith</c:v>
                </c:pt>
                <c:pt idx="9">
                  <c:v>Daniel Wilson</c:v>
                </c:pt>
                <c:pt idx="10">
                  <c:v>David Brown</c:v>
                </c:pt>
                <c:pt idx="11">
                  <c:v>David Martinez</c:v>
                </c:pt>
                <c:pt idx="12">
                  <c:v>David Rodriguez</c:v>
                </c:pt>
                <c:pt idx="13">
                  <c:v>David Wilson</c:v>
                </c:pt>
                <c:pt idx="14">
                  <c:v>Emily Brown</c:v>
                </c:pt>
                <c:pt idx="15">
                  <c:v>Emily Davis</c:v>
                </c:pt>
                <c:pt idx="16">
                  <c:v>Emily Johnson</c:v>
                </c:pt>
                <c:pt idx="17">
                  <c:v>Emily Rodriguez</c:v>
                </c:pt>
                <c:pt idx="18">
                  <c:v>James Johnson</c:v>
                </c:pt>
                <c:pt idx="19">
                  <c:v>Jane Doe</c:v>
                </c:pt>
                <c:pt idx="20">
                  <c:v>Jennifer Davis</c:v>
                </c:pt>
                <c:pt idx="21">
                  <c:v>Jennifer Hernandez</c:v>
                </c:pt>
                <c:pt idx="22">
                  <c:v>Jennifer Martinez</c:v>
                </c:pt>
                <c:pt idx="23">
                  <c:v>Jennifer Smith</c:v>
                </c:pt>
                <c:pt idx="24">
                  <c:v>Jessica Gonzalez</c:v>
                </c:pt>
                <c:pt idx="25">
                  <c:v>Jessica Johnson</c:v>
                </c:pt>
                <c:pt idx="26">
                  <c:v>Jessica Martinez</c:v>
                </c:pt>
                <c:pt idx="27">
                  <c:v>Jessica Smith</c:v>
                </c:pt>
                <c:pt idx="28">
                  <c:v>Jessica Wilson</c:v>
                </c:pt>
                <c:pt idx="29">
                  <c:v>John Smith</c:v>
                </c:pt>
                <c:pt idx="30">
                  <c:v>Kimberly Garcia</c:v>
                </c:pt>
                <c:pt idx="31">
                  <c:v>Laura Brown</c:v>
                </c:pt>
                <c:pt idx="32">
                  <c:v>Lisa Taylor</c:v>
                </c:pt>
                <c:pt idx="33">
                  <c:v>Matthew Garcia</c:v>
                </c:pt>
                <c:pt idx="34">
                  <c:v>Matthew Hernandez</c:v>
                </c:pt>
                <c:pt idx="35">
                  <c:v>Matthew Johnson</c:v>
                </c:pt>
                <c:pt idx="36">
                  <c:v>Matthew Smith</c:v>
                </c:pt>
                <c:pt idx="37">
                  <c:v>Matthew Wilson</c:v>
                </c:pt>
                <c:pt idx="38">
                  <c:v>Melissa Lopez</c:v>
                </c:pt>
                <c:pt idx="39">
                  <c:v>Michael Davis</c:v>
                </c:pt>
                <c:pt idx="40">
                  <c:v>Michael Garcia</c:v>
                </c:pt>
                <c:pt idx="41">
                  <c:v>Michael Johnson</c:v>
                </c:pt>
                <c:pt idx="42">
                  <c:v>Michael Martinez</c:v>
                </c:pt>
                <c:pt idx="43">
                  <c:v>Michael Smith</c:v>
                </c:pt>
                <c:pt idx="44">
                  <c:v>Richard Perez</c:v>
                </c:pt>
                <c:pt idx="45">
                  <c:v>Sarah Anderson</c:v>
                </c:pt>
                <c:pt idx="46">
                  <c:v>Sarah Garcia</c:v>
                </c:pt>
                <c:pt idx="47">
                  <c:v>Sarah Gonzalez</c:v>
                </c:pt>
                <c:pt idx="48">
                  <c:v>Sarah Johnson</c:v>
                </c:pt>
                <c:pt idx="49">
                  <c:v>Sarah Smith</c:v>
                </c:pt>
                <c:pt idx="50">
                  <c:v>William Hernandez</c:v>
                </c:pt>
              </c:strCache>
            </c:strRef>
          </c:cat>
          <c:val>
            <c:numRef>
              <c:f>'PIVOT TABLE'!$C$63:$C$114</c:f>
              <c:numCache>
                <c:formatCode>General</c:formatCode>
                <c:ptCount val="51"/>
                <c:pt idx="4">
                  <c:v>87.956</c:v>
                </c:pt>
                <c:pt idx="12">
                  <c:v>164.945</c:v>
                </c:pt>
                <c:pt idx="16">
                  <c:v>142.989</c:v>
                </c:pt>
                <c:pt idx="21">
                  <c:v>164.989</c:v>
                </c:pt>
                <c:pt idx="28">
                  <c:v>219.989</c:v>
                </c:pt>
                <c:pt idx="36">
                  <c:v>164.967</c:v>
                </c:pt>
                <c:pt idx="42">
                  <c:v>131.967</c:v>
                </c:pt>
                <c:pt idx="47">
                  <c:v>175.978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578791"/>
        <c:axId val="882440063"/>
      </c:lineChart>
      <c:catAx>
        <c:axId val="592578791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882440063"/>
        <c:crosses val="autoZero"/>
        <c:auto val="1"/>
        <c:lblAlgn val="ctr"/>
        <c:lblOffset val="100"/>
        <c:noMultiLvlLbl val="0"/>
      </c:catAx>
      <c:valAx>
        <c:axId val="8824400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92578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92617bb-aaf6-4e22-a2b1-8ac2bf8dc84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pn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677545</xdr:colOff>
      <xdr:row>8</xdr:row>
      <xdr:rowOff>135255</xdr:rowOff>
    </xdr:from>
    <xdr:ext cx="309880" cy="1290955"/>
    <xdr:sp>
      <xdr:nvSpPr>
        <xdr:cNvPr id="2" name="Rectangle 1"/>
        <xdr:cNvSpPr/>
      </xdr:nvSpPr>
      <xdr:spPr>
        <a:xfrm>
          <a:off x="4192270" y="1583055"/>
          <a:ext cx="309880" cy="12909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</a:bodyPr>
        <a:p>
          <a:pPr algn="ctr"/>
          <a:endParaRPr lang="en-US" altLang="zh-CN" sz="7200" b="1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twoCellAnchor>
    <xdr:from>
      <xdr:col>7</xdr:col>
      <xdr:colOff>158750</xdr:colOff>
      <xdr:row>2</xdr:row>
      <xdr:rowOff>6350</xdr:rowOff>
    </xdr:from>
    <xdr:to>
      <xdr:col>9</xdr:col>
      <xdr:colOff>917575</xdr:colOff>
      <xdr:row>17</xdr:row>
      <xdr:rowOff>83185</xdr:rowOff>
    </xdr:to>
    <xdr:graphicFrame>
      <xdr:nvGraphicFramePr>
        <xdr:cNvPr id="3" name="Chart 2" descr="7b0a202020202263686172745265734964223a20223230343732303435220a7d0a"/>
        <xdr:cNvGraphicFramePr/>
      </xdr:nvGraphicFramePr>
      <xdr:xfrm>
        <a:off x="7750175" y="368300"/>
        <a:ext cx="3940175" cy="2791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301625</xdr:colOff>
      <xdr:row>59</xdr:row>
      <xdr:rowOff>15875</xdr:rowOff>
    </xdr:from>
    <xdr:to>
      <xdr:col>6</xdr:col>
      <xdr:colOff>685800</xdr:colOff>
      <xdr:row>74</xdr:row>
      <xdr:rowOff>44450</xdr:rowOff>
    </xdr:to>
    <xdr:graphicFrame>
      <xdr:nvGraphicFramePr>
        <xdr:cNvPr id="4" name="Chart 3" descr="7b0a202020202263686172745265734964223a20223230343638363533220a7d0a"/>
        <xdr:cNvGraphicFramePr/>
      </xdr:nvGraphicFramePr>
      <xdr:xfrm>
        <a:off x="4654550" y="10693400"/>
        <a:ext cx="27844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244475</xdr:colOff>
      <xdr:row>115</xdr:row>
      <xdr:rowOff>69850</xdr:rowOff>
    </xdr:from>
    <xdr:to>
      <xdr:col>5</xdr:col>
      <xdr:colOff>1022350</xdr:colOff>
      <xdr:row>130</xdr:row>
      <xdr:rowOff>98425</xdr:rowOff>
    </xdr:to>
    <xdr:graphicFrame>
      <xdr:nvGraphicFramePr>
        <xdr:cNvPr id="5" name="Chart 4" descr="7b0a202020202263686172745265734964223a202234363530303930220a7d0a"/>
        <xdr:cNvGraphicFramePr/>
      </xdr:nvGraphicFramePr>
      <xdr:xfrm>
        <a:off x="2797175" y="20881975"/>
        <a:ext cx="3778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301625</xdr:colOff>
      <xdr:row>133</xdr:row>
      <xdr:rowOff>47625</xdr:rowOff>
    </xdr:from>
    <xdr:to>
      <xdr:col>6</xdr:col>
      <xdr:colOff>269875</xdr:colOff>
      <xdr:row>148</xdr:row>
      <xdr:rowOff>76200</xdr:rowOff>
    </xdr:to>
    <xdr:graphicFrame>
      <xdr:nvGraphicFramePr>
        <xdr:cNvPr id="6" name="Chart 5"/>
        <xdr:cNvGraphicFramePr/>
      </xdr:nvGraphicFramePr>
      <xdr:xfrm>
        <a:off x="3816350" y="24117300"/>
        <a:ext cx="32067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168910</xdr:colOff>
      <xdr:row>1</xdr:row>
      <xdr:rowOff>160020</xdr:rowOff>
    </xdr:from>
    <xdr:to>
      <xdr:col>24</xdr:col>
      <xdr:colOff>257810</xdr:colOff>
      <xdr:row>48</xdr:row>
      <xdr:rowOff>130175</xdr:rowOff>
    </xdr:to>
    <xdr:sp>
      <xdr:nvSpPr>
        <xdr:cNvPr id="2" name="Text Box 1"/>
        <xdr:cNvSpPr txBox="1"/>
      </xdr:nvSpPr>
      <xdr:spPr>
        <a:xfrm>
          <a:off x="2912110" y="340995"/>
          <a:ext cx="13804900" cy="8475980"/>
        </a:xfrm>
        <a:prstGeom prst="rect">
          <a:avLst/>
        </a:prstGeom>
        <a:blipFill>
          <a:blip r:embed="rId6"/>
        </a:blipFill>
        <a:ln w="76200">
          <a:gradFill>
            <a:gsLst>
              <a:gs pos="50000">
                <a:schemeClr val="tx1"/>
              </a:gs>
              <a:gs pos="0">
                <a:schemeClr val="tx1">
                  <a:lumMod val="25000"/>
                  <a:lumOff val="75000"/>
                </a:schemeClr>
              </a:gs>
              <a:gs pos="100000">
                <a:schemeClr val="tx1">
                  <a:lumMod val="85000"/>
                </a:schemeClr>
              </a:gs>
            </a:gsLst>
            <a:lin ang="5400000" scaled="0"/>
          </a:gra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endParaRPr lang="en-US" sz="1100"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1</xdr:col>
      <xdr:colOff>622300</xdr:colOff>
      <xdr:row>2</xdr:row>
      <xdr:rowOff>97155</xdr:rowOff>
    </xdr:from>
    <xdr:to>
      <xdr:col>2</xdr:col>
      <xdr:colOff>259080</xdr:colOff>
      <xdr:row>3</xdr:row>
      <xdr:rowOff>2540</xdr:rowOff>
    </xdr:to>
    <xdr:sp>
      <xdr:nvSpPr>
        <xdr:cNvPr id="3" name="Text Box 2"/>
        <xdr:cNvSpPr txBox="1"/>
      </xdr:nvSpPr>
      <xdr:spPr>
        <a:xfrm>
          <a:off x="1308100" y="459105"/>
          <a:ext cx="322580" cy="86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eaVert" wrap="square" rtlCol="0" anchor="t">
          <a:noAutofit/>
        </a:bodyPr>
        <a:p>
          <a:pPr algn="l"/>
          <a:endParaRPr lang="en-US" sz="1100"/>
        </a:p>
      </xdr:txBody>
    </xdr:sp>
    <xdr:clientData/>
  </xdr:twoCellAnchor>
  <xdr:oneCellAnchor>
    <xdr:from>
      <xdr:col>13</xdr:col>
      <xdr:colOff>210185</xdr:colOff>
      <xdr:row>3</xdr:row>
      <xdr:rowOff>147320</xdr:rowOff>
    </xdr:from>
    <xdr:ext cx="309880" cy="284480"/>
    <xdr:sp>
      <xdr:nvSpPr>
        <xdr:cNvPr id="4" name="Text Box 3"/>
        <xdr:cNvSpPr txBox="1"/>
      </xdr:nvSpPr>
      <xdr:spPr>
        <a:xfrm>
          <a:off x="9125585" y="690245"/>
          <a:ext cx="309880" cy="2844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5</xdr:col>
      <xdr:colOff>155575</xdr:colOff>
      <xdr:row>3</xdr:row>
      <xdr:rowOff>15240</xdr:rowOff>
    </xdr:from>
    <xdr:to>
      <xdr:col>18</xdr:col>
      <xdr:colOff>575945</xdr:colOff>
      <xdr:row>6</xdr:row>
      <xdr:rowOff>146050</xdr:rowOff>
    </xdr:to>
    <xdr:sp>
      <xdr:nvSpPr>
        <xdr:cNvPr id="5" name="Text Box 4"/>
        <xdr:cNvSpPr txBox="1"/>
      </xdr:nvSpPr>
      <xdr:spPr>
        <a:xfrm>
          <a:off x="3584575" y="558165"/>
          <a:ext cx="9335770" cy="673735"/>
        </a:xfrm>
        <a:prstGeom prst="rect">
          <a:avLst/>
        </a:prstGeom>
        <a:blipFill>
          <a:blip r:embed="rId7"/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2800"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Lucida Calligraphy" panose="03010101010101010101" charset="0"/>
              <a:cs typeface="Lucida Calligraphy" panose="03010101010101010101" charset="0"/>
            </a:rPr>
            <a:t>SUPERMARKET SALES ANALYSIS</a:t>
          </a:r>
          <a:endParaRPr lang="en-US" sz="2800"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Lucida Calligraphy" panose="03010101010101010101" charset="0"/>
            <a:cs typeface="Lucida Calligraphy" panose="03010101010101010101" charset="0"/>
          </a:endParaRPr>
        </a:p>
      </xdr:txBody>
    </xdr:sp>
    <xdr:clientData/>
  </xdr:twoCellAnchor>
  <xdr:twoCellAnchor>
    <xdr:from>
      <xdr:col>4</xdr:col>
      <xdr:colOff>481965</xdr:colOff>
      <xdr:row>8</xdr:row>
      <xdr:rowOff>22225</xdr:rowOff>
    </xdr:from>
    <xdr:to>
      <xdr:col>12</xdr:col>
      <xdr:colOff>445135</xdr:colOff>
      <xdr:row>26</xdr:row>
      <xdr:rowOff>147955</xdr:rowOff>
    </xdr:to>
    <xdr:graphicFrame>
      <xdr:nvGraphicFramePr>
        <xdr:cNvPr id="6" name="Chart 5" descr="7b0a202020202263686172745265734964223a20223230343732303435220a7d0a"/>
        <xdr:cNvGraphicFramePr/>
      </xdr:nvGraphicFramePr>
      <xdr:xfrm>
        <a:off x="3225165" y="1470025"/>
        <a:ext cx="5449570" cy="338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</xdr:colOff>
      <xdr:row>8</xdr:row>
      <xdr:rowOff>79375</xdr:rowOff>
    </xdr:from>
    <xdr:to>
      <xdr:col>19</xdr:col>
      <xdr:colOff>284480</xdr:colOff>
      <xdr:row>26</xdr:row>
      <xdr:rowOff>138430</xdr:rowOff>
    </xdr:to>
    <xdr:graphicFrame>
      <xdr:nvGraphicFramePr>
        <xdr:cNvPr id="7" name="Chart 6" descr="7b0a202020202263686172745265734964223a20223230343638363533220a7d0a"/>
        <xdr:cNvGraphicFramePr/>
      </xdr:nvGraphicFramePr>
      <xdr:xfrm>
        <a:off x="8945880" y="1527175"/>
        <a:ext cx="4368800" cy="33166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518795</xdr:colOff>
      <xdr:row>27</xdr:row>
      <xdr:rowOff>71755</xdr:rowOff>
    </xdr:from>
    <xdr:to>
      <xdr:col>12</xdr:col>
      <xdr:colOff>490855</xdr:colOff>
      <xdr:row>45</xdr:row>
      <xdr:rowOff>73025</xdr:rowOff>
    </xdr:to>
    <xdr:graphicFrame>
      <xdr:nvGraphicFramePr>
        <xdr:cNvPr id="8" name="Chart 7" descr="7b0a202020202263686172745265734964223a202234363530303930220a7d0a"/>
        <xdr:cNvGraphicFramePr/>
      </xdr:nvGraphicFramePr>
      <xdr:xfrm>
        <a:off x="3261995" y="4958080"/>
        <a:ext cx="5458460" cy="32588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54610</xdr:colOff>
      <xdr:row>28</xdr:row>
      <xdr:rowOff>21590</xdr:rowOff>
    </xdr:from>
    <xdr:to>
      <xdr:col>19</xdr:col>
      <xdr:colOff>299720</xdr:colOff>
      <xdr:row>45</xdr:row>
      <xdr:rowOff>99695</xdr:rowOff>
    </xdr:to>
    <xdr:graphicFrame>
      <xdr:nvGraphicFramePr>
        <xdr:cNvPr id="9" name="Chart 8"/>
        <xdr:cNvGraphicFramePr/>
      </xdr:nvGraphicFramePr>
      <xdr:xfrm>
        <a:off x="8970010" y="5088890"/>
        <a:ext cx="4359910" cy="315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345440</xdr:colOff>
      <xdr:row>17</xdr:row>
      <xdr:rowOff>15875</xdr:rowOff>
    </xdr:from>
    <xdr:to>
      <xdr:col>27</xdr:col>
      <xdr:colOff>116840</xdr:colOff>
      <xdr:row>30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04640" y="30924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327025</xdr:colOff>
      <xdr:row>2</xdr:row>
      <xdr:rowOff>148590</xdr:rowOff>
    </xdr:from>
    <xdr:to>
      <xdr:col>27</xdr:col>
      <xdr:colOff>98425</xdr:colOff>
      <xdr:row>15</xdr:row>
      <xdr:rowOff>170815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Total (USD)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(USD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86225" y="5105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314960</xdr:colOff>
      <xdr:row>39</xdr:row>
      <xdr:rowOff>76835</xdr:rowOff>
    </xdr:from>
    <xdr:to>
      <xdr:col>4</xdr:col>
      <xdr:colOff>86360</xdr:colOff>
      <xdr:row>52</xdr:row>
      <xdr:rowOff>99060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Customer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0760" y="71348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346075</xdr:colOff>
      <xdr:row>25</xdr:row>
      <xdr:rowOff>179070</xdr:rowOff>
    </xdr:from>
    <xdr:to>
      <xdr:col>4</xdr:col>
      <xdr:colOff>117475</xdr:colOff>
      <xdr:row>39</xdr:row>
      <xdr:rowOff>20320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Total (USD)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(USD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875" y="470344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20</xdr:col>
      <xdr:colOff>56515</xdr:colOff>
      <xdr:row>11</xdr:row>
      <xdr:rowOff>69850</xdr:rowOff>
    </xdr:from>
    <xdr:to>
      <xdr:col>23</xdr:col>
      <xdr:colOff>547370</xdr:colOff>
      <xdr:row>17</xdr:row>
      <xdr:rowOff>174625</xdr:rowOff>
    </xdr:to>
    <xdr:sp>
      <xdr:nvSpPr>
        <xdr:cNvPr id="10" name="Text Box 9"/>
        <xdr:cNvSpPr txBox="1"/>
      </xdr:nvSpPr>
      <xdr:spPr>
        <a:xfrm>
          <a:off x="13772515" y="2060575"/>
          <a:ext cx="2548255" cy="1190625"/>
        </a:xfrm>
        <a:prstGeom prst="rect">
          <a:avLst/>
        </a:prstGeom>
        <a:blipFill>
          <a:blip r:embed="rId8"/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p>
          <a:pPr algn="ctr"/>
          <a:r>
            <a:rPr lang="en-US" sz="2400" b="1">
              <a:solidFill>
                <a:schemeClr val="accent3"/>
              </a:solidFill>
              <a:effectLst/>
              <a:latin typeface="Algerian" panose="04020705040A02060702" charset="0"/>
              <a:cs typeface="Algerian" panose="04020705040A02060702" charset="0"/>
            </a:rPr>
            <a:t>total revenue</a:t>
          </a:r>
          <a:endParaRPr lang="en-US" sz="2400" b="1">
            <a:solidFill>
              <a:schemeClr val="accent3"/>
            </a:solidFill>
            <a:effectLst/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20</xdr:col>
      <xdr:colOff>251460</xdr:colOff>
      <xdr:row>14</xdr:row>
      <xdr:rowOff>47625</xdr:rowOff>
    </xdr:from>
    <xdr:to>
      <xdr:col>23</xdr:col>
      <xdr:colOff>431800</xdr:colOff>
      <xdr:row>16</xdr:row>
      <xdr:rowOff>149860</xdr:rowOff>
    </xdr:to>
    <xdr:sp>
      <xdr:nvSpPr>
        <xdr:cNvPr id="11" name="Text Box 10"/>
        <xdr:cNvSpPr txBox="1"/>
      </xdr:nvSpPr>
      <xdr:spPr>
        <a:xfrm>
          <a:off x="13967460" y="2581275"/>
          <a:ext cx="2237740" cy="464185"/>
        </a:xfrm>
        <a:prstGeom prst="rect">
          <a:avLst/>
        </a:prstGeom>
        <a:blipFill>
          <a:blip r:embed="rId7"/>
        </a:blipFill>
        <a:ln w="12700" cmpd="sng">
          <a:gradFill>
            <a:gsLst>
              <a:gs pos="50000">
                <a:schemeClr val="accent1"/>
              </a:gs>
              <a:gs pos="0">
                <a:schemeClr val="accent1">
                  <a:lumMod val="25000"/>
                  <a:lumOff val="75000"/>
                </a:schemeClr>
              </a:gs>
              <a:gs pos="100000">
                <a:schemeClr val="accent1">
                  <a:lumMod val="85000"/>
                </a:schemeClr>
              </a:gs>
            </a:gsLst>
            <a:lin ang="5400000" scaled="0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US" sz="2000">
              <a:latin typeface="Algerian" panose="04020705040A02060702" charset="0"/>
              <a:cs typeface="Algerian" panose="04020705040A02060702" charset="0"/>
            </a:rPr>
            <a:t>$10855.152</a:t>
          </a:r>
          <a:r>
            <a:rPr lang="en-US" sz="1800"/>
            <a:t>	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33655</xdr:colOff>
      <xdr:row>18</xdr:row>
      <xdr:rowOff>135890</xdr:rowOff>
    </xdr:from>
    <xdr:to>
      <xdr:col>23</xdr:col>
      <xdr:colOff>560705</xdr:colOff>
      <xdr:row>24</xdr:row>
      <xdr:rowOff>175260</xdr:rowOff>
    </xdr:to>
    <xdr:sp>
      <xdr:nvSpPr>
        <xdr:cNvPr id="12" name="Text Box 11"/>
        <xdr:cNvSpPr txBox="1"/>
      </xdr:nvSpPr>
      <xdr:spPr>
        <a:xfrm>
          <a:off x="13749655" y="3393440"/>
          <a:ext cx="2584450" cy="1125220"/>
        </a:xfrm>
        <a:prstGeom prst="rect">
          <a:avLst/>
        </a:prstGeom>
        <a:blipFill>
          <a:blip r:embed="rId8"/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p>
          <a:pPr algn="ctr"/>
          <a:r>
            <a:rPr lang="en-US" sz="2400" b="1">
              <a:solidFill>
                <a:schemeClr val="accent3"/>
              </a:solidFill>
              <a:effectLst/>
              <a:latin typeface="Algerian" panose="04020705040A02060702" charset="0"/>
              <a:cs typeface="Algerian" panose="04020705040A02060702" charset="0"/>
            </a:rPr>
            <a:t>total orders</a:t>
          </a:r>
          <a:endParaRPr lang="en-US" sz="2400" b="1">
            <a:solidFill>
              <a:schemeClr val="accent3"/>
            </a:solidFill>
            <a:effectLst/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20</xdr:col>
      <xdr:colOff>315595</xdr:colOff>
      <xdr:row>21</xdr:row>
      <xdr:rowOff>71120</xdr:rowOff>
    </xdr:from>
    <xdr:to>
      <xdr:col>23</xdr:col>
      <xdr:colOff>340995</xdr:colOff>
      <xdr:row>24</xdr:row>
      <xdr:rowOff>5715</xdr:rowOff>
    </xdr:to>
    <xdr:sp>
      <xdr:nvSpPr>
        <xdr:cNvPr id="15" name="Text Box 14"/>
        <xdr:cNvSpPr txBox="1"/>
      </xdr:nvSpPr>
      <xdr:spPr>
        <a:xfrm>
          <a:off x="14031595" y="3871595"/>
          <a:ext cx="2082800" cy="477520"/>
        </a:xfrm>
        <a:prstGeom prst="rect">
          <a:avLst/>
        </a:prstGeom>
        <a:blipFill>
          <a:blip r:embed="rId7"/>
        </a:blipFill>
        <a:ln w="19050" cmpd="sng">
          <a:gradFill>
            <a:gsLst>
              <a:gs pos="50000">
                <a:schemeClr val="accent1"/>
              </a:gs>
              <a:gs pos="0">
                <a:schemeClr val="accent1">
                  <a:lumMod val="25000"/>
                  <a:lumOff val="75000"/>
                </a:schemeClr>
              </a:gs>
              <a:gs pos="100000">
                <a:schemeClr val="accent1">
                  <a:lumMod val="85000"/>
                </a:schemeClr>
              </a:gs>
            </a:gsLst>
            <a:lin ang="5400000" scaled="0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US" sz="2400">
              <a:latin typeface="Algerian" panose="04020705040A02060702" charset="0"/>
              <a:cs typeface="Algerian" panose="04020705040A02060702" charset="0"/>
            </a:rPr>
            <a:t>70</a:t>
          </a:r>
          <a:r>
            <a:rPr lang="en-US" sz="1100"/>
            <a:t>	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58420</xdr:colOff>
      <xdr:row>25</xdr:row>
      <xdr:rowOff>163195</xdr:rowOff>
    </xdr:from>
    <xdr:to>
      <xdr:col>23</xdr:col>
      <xdr:colOff>598805</xdr:colOff>
      <xdr:row>31</xdr:row>
      <xdr:rowOff>124460</xdr:rowOff>
    </xdr:to>
    <xdr:sp>
      <xdr:nvSpPr>
        <xdr:cNvPr id="16" name="Text Box 15"/>
        <xdr:cNvSpPr txBox="1"/>
      </xdr:nvSpPr>
      <xdr:spPr>
        <a:xfrm>
          <a:off x="13774420" y="4687570"/>
          <a:ext cx="2597785" cy="1047115"/>
        </a:xfrm>
        <a:prstGeom prst="rect">
          <a:avLst/>
        </a:prstGeom>
        <a:blipFill>
          <a:blip r:embed="rId8"/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p>
          <a:pPr algn="l"/>
          <a:r>
            <a:rPr lang="en-US" sz="1400" b="1">
              <a:solidFill>
                <a:schemeClr val="accent3"/>
              </a:solidFill>
              <a:effectLst/>
              <a:latin typeface="Algerian" panose="04020705040A02060702" charset="0"/>
              <a:cs typeface="Algerian" panose="04020705040A02060702" charset="0"/>
            </a:rPr>
            <a:t>AVERAGE OF order value</a:t>
          </a:r>
          <a:endParaRPr lang="en-US" sz="1400" b="1">
            <a:solidFill>
              <a:schemeClr val="accent3"/>
            </a:solidFill>
            <a:effectLst/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20</xdr:col>
      <xdr:colOff>302260</xdr:colOff>
      <xdr:row>28</xdr:row>
      <xdr:rowOff>20955</xdr:rowOff>
    </xdr:from>
    <xdr:to>
      <xdr:col>23</xdr:col>
      <xdr:colOff>340995</xdr:colOff>
      <xdr:row>30</xdr:row>
      <xdr:rowOff>98425</xdr:rowOff>
    </xdr:to>
    <xdr:sp>
      <xdr:nvSpPr>
        <xdr:cNvPr id="17" name="Text Box 16"/>
        <xdr:cNvSpPr txBox="1"/>
      </xdr:nvSpPr>
      <xdr:spPr>
        <a:xfrm>
          <a:off x="14018260" y="5088255"/>
          <a:ext cx="2096135" cy="439420"/>
        </a:xfrm>
        <a:prstGeom prst="rect">
          <a:avLst/>
        </a:prstGeom>
        <a:blipFill>
          <a:blip r:embed="rId7"/>
        </a:blipFill>
        <a:ln w="19050" cmpd="sng">
          <a:gradFill>
            <a:gsLst>
              <a:gs pos="50000">
                <a:schemeClr val="accent1"/>
              </a:gs>
              <a:gs pos="0">
                <a:schemeClr val="accent1">
                  <a:lumMod val="25000"/>
                  <a:lumOff val="75000"/>
                </a:schemeClr>
              </a:gs>
              <a:gs pos="100000">
                <a:schemeClr val="accent1">
                  <a:lumMod val="85000"/>
                </a:schemeClr>
              </a:gs>
            </a:gsLst>
            <a:lin ang="5400000" scaled="0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800">
              <a:latin typeface="Algerian" panose="04020705040A02060702" charset="0"/>
              <a:cs typeface="Algerian" panose="04020705040A02060702" charset="0"/>
            </a:rPr>
            <a:t>$155.0736</a:t>
          </a:r>
          <a:r>
            <a:rPr lang="en-US" sz="1200"/>
            <a:t>	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20320</xdr:colOff>
      <xdr:row>32</xdr:row>
      <xdr:rowOff>71755</xdr:rowOff>
    </xdr:from>
    <xdr:to>
      <xdr:col>23</xdr:col>
      <xdr:colOff>603250</xdr:colOff>
      <xdr:row>38</xdr:row>
      <xdr:rowOff>84455</xdr:rowOff>
    </xdr:to>
    <xdr:sp>
      <xdr:nvSpPr>
        <xdr:cNvPr id="20" name="Text Box 19"/>
        <xdr:cNvSpPr txBox="1"/>
      </xdr:nvSpPr>
      <xdr:spPr>
        <a:xfrm>
          <a:off x="13736320" y="5862955"/>
          <a:ext cx="2640330" cy="1098550"/>
        </a:xfrm>
        <a:prstGeom prst="rect">
          <a:avLst/>
        </a:prstGeom>
        <a:blipFill>
          <a:blip r:embed="rId8"/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 anchorCtr="0">
          <a:no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p>
          <a:pPr algn="ctr"/>
          <a:r>
            <a:rPr lang="en-US" sz="1600" b="1">
              <a:solidFill>
                <a:schemeClr val="accent3"/>
              </a:solidFill>
              <a:effectLst/>
              <a:latin typeface="Algerian" panose="04020705040A02060702" charset="0"/>
              <a:cs typeface="Algerian" panose="04020705040A02060702" charset="0"/>
            </a:rPr>
            <a:t>average shipping day</a:t>
          </a:r>
          <a:endParaRPr lang="en-US" sz="1600" b="1">
            <a:solidFill>
              <a:schemeClr val="accent3"/>
            </a:solidFill>
            <a:effectLst/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20</xdr:col>
      <xdr:colOff>352425</xdr:colOff>
      <xdr:row>34</xdr:row>
      <xdr:rowOff>149860</xdr:rowOff>
    </xdr:from>
    <xdr:to>
      <xdr:col>23</xdr:col>
      <xdr:colOff>365125</xdr:colOff>
      <xdr:row>37</xdr:row>
      <xdr:rowOff>72390</xdr:rowOff>
    </xdr:to>
    <xdr:sp>
      <xdr:nvSpPr>
        <xdr:cNvPr id="21" name="Text Box 20"/>
        <xdr:cNvSpPr txBox="1"/>
      </xdr:nvSpPr>
      <xdr:spPr>
        <a:xfrm>
          <a:off x="14068425" y="6303010"/>
          <a:ext cx="2070100" cy="465455"/>
        </a:xfrm>
        <a:prstGeom prst="rect">
          <a:avLst/>
        </a:prstGeom>
        <a:blipFill>
          <a:blip r:embed="rId7"/>
        </a:blipFill>
        <a:ln w="19050" cmpd="sng">
          <a:gradFill>
            <a:gsLst>
              <a:gs pos="50000">
                <a:schemeClr val="accent1"/>
              </a:gs>
              <a:gs pos="0">
                <a:schemeClr val="accent1">
                  <a:lumMod val="25000"/>
                  <a:lumOff val="75000"/>
                </a:schemeClr>
              </a:gs>
              <a:gs pos="100000">
                <a:schemeClr val="accent1">
                  <a:lumMod val="85000"/>
                </a:schemeClr>
              </a:gs>
            </a:gsLst>
            <a:lin ang="5400000" scaled="0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US" sz="1800">
              <a:latin typeface="Algerian" panose="04020705040A02060702" charset="0"/>
              <a:cs typeface="Algerian" panose="04020705040A02060702" charset="0"/>
            </a:rPr>
            <a:t>3.2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43815</xdr:colOff>
      <xdr:row>39</xdr:row>
      <xdr:rowOff>47625</xdr:rowOff>
    </xdr:from>
    <xdr:to>
      <xdr:col>23</xdr:col>
      <xdr:colOff>609600</xdr:colOff>
      <xdr:row>45</xdr:row>
      <xdr:rowOff>83185</xdr:rowOff>
    </xdr:to>
    <xdr:sp>
      <xdr:nvSpPr>
        <xdr:cNvPr id="22" name="Text Box 21"/>
        <xdr:cNvSpPr txBox="1"/>
      </xdr:nvSpPr>
      <xdr:spPr>
        <a:xfrm>
          <a:off x="13759815" y="7105650"/>
          <a:ext cx="2623185" cy="1121410"/>
        </a:xfrm>
        <a:prstGeom prst="rect">
          <a:avLst/>
        </a:prstGeom>
        <a:blipFill>
          <a:blip r:embed="rId8"/>
        </a:blip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p>
          <a:pPr algn="ctr"/>
          <a:r>
            <a:rPr lang="en-US" sz="1600" b="1">
              <a:solidFill>
                <a:schemeClr val="accent3"/>
              </a:solidFill>
              <a:effectLst/>
              <a:latin typeface="Algerian" panose="04020705040A02060702" charset="0"/>
              <a:cs typeface="Algerian" panose="04020705040A02060702" charset="0"/>
            </a:rPr>
            <a:t>total quantity sold</a:t>
          </a:r>
          <a:endParaRPr lang="en-US" sz="1600" b="1">
            <a:solidFill>
              <a:schemeClr val="accent3"/>
            </a:solidFill>
            <a:effectLst/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20</xdr:col>
      <xdr:colOff>360045</xdr:colOff>
      <xdr:row>41</xdr:row>
      <xdr:rowOff>66040</xdr:rowOff>
    </xdr:from>
    <xdr:to>
      <xdr:col>23</xdr:col>
      <xdr:colOff>308610</xdr:colOff>
      <xdr:row>44</xdr:row>
      <xdr:rowOff>30480</xdr:rowOff>
    </xdr:to>
    <xdr:sp>
      <xdr:nvSpPr>
        <xdr:cNvPr id="23" name="Text Box 22"/>
        <xdr:cNvSpPr txBox="1"/>
      </xdr:nvSpPr>
      <xdr:spPr>
        <a:xfrm rot="10800000" flipV="1">
          <a:off x="14076045" y="7486015"/>
          <a:ext cx="2005965" cy="507365"/>
        </a:xfrm>
        <a:prstGeom prst="rect">
          <a:avLst/>
        </a:prstGeom>
        <a:blipFill>
          <a:blip r:embed="rId7"/>
        </a:blipFill>
        <a:ln w="19050" cmpd="sng">
          <a:gradFill>
            <a:gsLst>
              <a:gs pos="50000">
                <a:schemeClr val="accent1"/>
              </a:gs>
              <a:gs pos="0">
                <a:schemeClr val="accent1">
                  <a:lumMod val="25000"/>
                  <a:lumOff val="75000"/>
                </a:schemeClr>
              </a:gs>
              <a:gs pos="100000">
                <a:schemeClr val="accent1">
                  <a:lumMod val="85000"/>
                </a:schemeClr>
              </a:gs>
            </a:gsLst>
            <a:lin ang="5400000" scaled="0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US" sz="2000">
              <a:latin typeface="Algerian" panose="04020705040A02060702" charset="0"/>
              <a:cs typeface="Algerian" panose="04020705040A02060702" charset="0"/>
            </a:rPr>
            <a:t>168</a:t>
          </a:r>
          <a:endParaRPr lang="en-US" sz="2000">
            <a:latin typeface="Algerian" panose="04020705040A02060702" charset="0"/>
            <a:cs typeface="Algerian" panose="04020705040A02060702" charset="0"/>
          </a:endParaRPr>
        </a:p>
      </xdr:txBody>
    </xdr:sp>
    <xdr:clientData/>
  </xdr:twoCellAnchor>
  <xdr:twoCellAnchor>
    <xdr:from>
      <xdr:col>20</xdr:col>
      <xdr:colOff>22225</xdr:colOff>
      <xdr:row>6</xdr:row>
      <xdr:rowOff>73660</xdr:rowOff>
    </xdr:from>
    <xdr:to>
      <xdr:col>23</xdr:col>
      <xdr:colOff>549910</xdr:colOff>
      <xdr:row>9</xdr:row>
      <xdr:rowOff>111760</xdr:rowOff>
    </xdr:to>
    <xdr:sp>
      <xdr:nvSpPr>
        <xdr:cNvPr id="24" name="Text Box 23"/>
        <xdr:cNvSpPr txBox="1"/>
      </xdr:nvSpPr>
      <xdr:spPr>
        <a:xfrm>
          <a:off x="13738225" y="1159510"/>
          <a:ext cx="2585085" cy="581025"/>
        </a:xfrm>
        <a:prstGeom prst="rect">
          <a:avLst/>
        </a:prstGeom>
        <a:blipFill>
          <a:blip r:embed="rId9"/>
        </a:blipFill>
        <a:ln w="38100" cmpd="sng">
          <a:gradFill>
            <a:gsLst>
              <a:gs pos="50000">
                <a:schemeClr val="accent1"/>
              </a:gs>
              <a:gs pos="0">
                <a:schemeClr val="accent1">
                  <a:lumMod val="25000"/>
                  <a:lumOff val="75000"/>
                </a:schemeClr>
              </a:gs>
              <a:gs pos="100000">
                <a:schemeClr val="accent1">
                  <a:lumMod val="85000"/>
                </a:schemeClr>
              </a:gs>
            </a:gsLst>
            <a:lin ang="5400000" scaled="0"/>
          </a:gra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2800" b="1"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Lucida Calligraphy" panose="03010101010101010101" charset="0"/>
              <a:cs typeface="Lucida Calligraphy" panose="03010101010101010101" charset="0"/>
            </a:rPr>
            <a:t>KPIs</a:t>
          </a:r>
          <a:endParaRPr lang="en-US" sz="2800" b="1"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Lucida Calligraphy" panose="03010101010101010101" charset="0"/>
            <a:cs typeface="Lucida Calligraphy" panose="03010101010101010101" charset="0"/>
          </a:endParaRPr>
        </a:p>
      </xdr:txBody>
    </xdr:sp>
    <xdr:clientData/>
  </xdr:twoCellAnchor>
  <xdr:twoCellAnchor>
    <xdr:from>
      <xdr:col>13</xdr:col>
      <xdr:colOff>29210</xdr:colOff>
      <xdr:row>7</xdr:row>
      <xdr:rowOff>173355</xdr:rowOff>
    </xdr:from>
    <xdr:to>
      <xdr:col>19</xdr:col>
      <xdr:colOff>275590</xdr:colOff>
      <xdr:row>26</xdr:row>
      <xdr:rowOff>145415</xdr:rowOff>
    </xdr:to>
    <xdr:graphicFrame>
      <xdr:nvGraphicFramePr>
        <xdr:cNvPr id="27" name="Chart 26" descr="7b0a202020202263686172745265734964223a20223230343638363533220a7d0a"/>
        <xdr:cNvGraphicFramePr/>
      </xdr:nvGraphicFramePr>
      <xdr:xfrm>
        <a:off x="8944610" y="1440180"/>
        <a:ext cx="4361180" cy="3410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6.9857986111" refreshedBy="User" recordCount="0">
  <cacheSource type="worksheet">
    <worksheetSource ref="B7:L77" sheet="cleaned dataset"/>
  </cacheSource>
  <cacheFields count="11">
    <cacheField name="Order No" numFmtId="0">
      <sharedItems containsSemiMixedTypes="0" containsString="0" containsNumber="1" containsInteger="1" minValue="0" maxValue="1070" count="7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</sharedItems>
    </cacheField>
    <cacheField name="Order Date" numFmtId="182">
      <sharedItems containsSemiMixedTypes="0" containsString="0" containsNonDate="0" containsDate="1" minDate="2024-01-01T00:00:00" maxDate="2024-11-06T00:00:00" count="39">
        <d v="2024-01-01T00:00:00"/>
        <d v="2024-02-01T00:00:00"/>
        <d v="2024-03-02T00:00:00"/>
        <d v="2024-01-02T00:00:00"/>
        <d v="2024-02-03T00:00:00"/>
        <d v="2024-03-03T00:00:00"/>
        <d v="2024-01-04T00:00:00"/>
        <d v="2024-04-04T00:00:00"/>
        <d v="2024-05-05T00:00:00"/>
        <d v="2024-01-05T00:00:00"/>
        <d v="2024-10-06T00:00:00"/>
        <d v="2024-1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2T00:00:00"/>
        <d v="2024-02-04T00:00:00"/>
      </sharedItems>
    </cacheField>
    <cacheField name="Customer Name" numFmtId="0">
      <sharedItems count="51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  <s v="Sarah Johnson"/>
        <s v="Matthew Garcia"/>
        <s v="Daniel Hernandez"/>
        <s v="Michael Martinez"/>
        <s v="Jessica Wilson"/>
        <s v="David Rodriguez"/>
        <s v="Sarah Gonzalez"/>
        <s v="Matthew Smith"/>
        <s v="Emily Johnson"/>
        <s v="Daniel Brown"/>
        <s v="Jennifer Hernandez"/>
        <s v="Michael Davis"/>
        <s v="Jessica Smith"/>
        <s v="David Martinez"/>
      </sharedItems>
    </cacheField>
    <cacheField name="Ship Date" numFmtId="182">
      <sharedItems containsSemiMixedTypes="0" containsString="0" containsNonDate="0" containsDate="1" minDate="2024-01-08T00:00:00" maxDate="2024-11-08T00:00:00" count="36">
        <d v="2024-01-08T00:00:00"/>
        <d v="2024-02-04T00:00:00"/>
        <d v="2024-03-07T00:00:00"/>
        <d v="2024-01-11T00:00:00"/>
        <d v="2024-02-08T00:00:00"/>
        <d v="2024-03-06T00:00:00"/>
        <d v="2024-04-09T00:00:00"/>
        <d v="2024-05-09T00:00:00"/>
        <d v="2024-10-10T00:00:00"/>
        <d v="2024-11-08T00:00:00"/>
        <d v="2024-01-09T00:00:00"/>
        <d v="2024-01-12T00:00:00"/>
        <d v="2024-01-13T00:00:00"/>
        <d v="2024-01-14T00:00:00"/>
        <d v="2024-01-15T00:00:00"/>
        <d v="2024-01-17T00:00:00"/>
        <d v="2024-01-18T00:00:00"/>
        <d v="2024-01-19T00:00:00"/>
        <d v="2024-01-23T00:00:00"/>
        <d v="2024-01-20T00:00:00"/>
        <d v="2024-01-22T00:00:00"/>
        <d v="2024-01-24T00:00:00"/>
        <d v="2024-01-21T00:00:00"/>
        <d v="2024-01-26T00:00:00"/>
        <d v="2024-01-25T00:00:00"/>
        <d v="2024-01-27T00:00:00"/>
        <d v="2024-01-30T00:00:00"/>
        <d v="2024-01-29T00:00:00"/>
        <d v="2024-01-28T00:00:00"/>
        <d v="2024-01-31T00:00:00"/>
        <d v="2024-02-01T00:00:00"/>
        <d v="2024-02-02T00:00:00"/>
        <d v="2024-02-05T00:00:00"/>
        <d v="2024-02-03T00:00:00"/>
        <d v="2024-02-06T00:00:00"/>
        <d v="2024-02-07T00:00:00"/>
      </sharedItems>
    </cacheField>
    <cacheField name="Retail Price (USD)" numFmtId="0">
      <sharedItems containsSemiMixedTypes="0" containsString="0" containsNumber="1" minValue="0" maxValue="199.99" count="11">
        <n v="49.99"/>
        <n v="29.99"/>
        <n v="99.99"/>
        <n v="19.99"/>
        <n v="149.99"/>
        <n v="79.99"/>
        <n v="39.99"/>
        <n v="69.99"/>
        <n v="89.99"/>
        <n v="199.99"/>
        <n v="129.99"/>
      </sharedItems>
    </cacheField>
    <cacheField name="Order Quantity" numFmtId="0">
      <sharedItems containsSemiMixedTypes="0" containsString="0" containsNumber="1" containsInteger="1" minValue="0" maxValue="5" count="5">
        <n v="2"/>
        <n v="1"/>
        <n v="3"/>
        <n v="4"/>
        <n v="5"/>
      </sharedItems>
    </cacheField>
    <cacheField name="Tax (USD)" numFmtId="0">
      <sharedItems containsSemiMixedTypes="0" containsString="0" containsNumber="1" minValue="0" maxValue="29.997" count="13">
        <n v="9.998"/>
        <n v="2.999"/>
        <n v="29.997"/>
        <n v="7.996"/>
        <n v="14.999"/>
        <n v="15.998"/>
        <n v="11.997"/>
        <n v="13.998"/>
        <n v="8.999"/>
        <n v="19.999"/>
        <n v="14.995"/>
        <n v="14.997"/>
        <n v="12.999"/>
      </sharedItems>
    </cacheField>
    <cacheField name="Total (USD)" numFmtId="0">
      <sharedItems containsSemiMixedTypes="0" containsString="0" containsNumber="1" minValue="0" maxValue="329.967" count="13">
        <n v="109.978"/>
        <n v="32.989"/>
        <n v="329.967"/>
        <n v="87.956"/>
        <n v="164.989"/>
        <n v="175.978"/>
        <n v="131.967"/>
        <n v="153.978"/>
        <n v="98.989"/>
        <n v="219.989"/>
        <n v="164.945"/>
        <n v="164.967"/>
        <n v="142.989"/>
      </sharedItems>
    </cacheField>
    <cacheField name="Sales Before Tax" numFmtId="0">
      <sharedItems containsSemiMixedTypes="0" containsString="0" containsNumber="1" minValue="0" maxValue="299.97" count="13">
        <n v="99.98"/>
        <n v="29.99"/>
        <n v="299.97"/>
        <n v="79.96"/>
        <n v="149.99"/>
        <n v="159.98"/>
        <n v="119.97"/>
        <n v="139.98"/>
        <n v="89.99"/>
        <n v="199.99"/>
        <n v="149.95"/>
        <n v="149.97"/>
        <n v="129.99"/>
      </sharedItems>
    </cacheField>
    <cacheField name="Shipping Days" numFmtId="0">
      <sharedItems containsSemiMixedTypes="0" containsString="0" containsNumber="1" containsInteger="1" minValue="0" maxValue="9" count="7">
        <n v="7"/>
        <n v="3"/>
        <n v="5"/>
        <n v="9"/>
        <n v="4"/>
        <n v="2"/>
        <n v="1"/>
      </sharedItems>
    </cacheField>
    <cacheField name="Month" numFmtId="0">
      <sharedItems count="7">
        <s v="Jan"/>
        <s v="Feb"/>
        <s v="Mar"/>
        <s v="Apr"/>
        <s v="May"/>
        <s v="Oct"/>
        <s v="Nov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7.0374652778" refreshedBy="User" recordCount="70">
  <cacheSource type="worksheet">
    <worksheetSource ref="B8:I78" sheet="SuperMarket Sales"/>
  </cacheSource>
  <cacheFields count="8">
    <cacheField name="Order No" numFmtId="0">
      <sharedItems count="70"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</sharedItems>
    </cacheField>
    <cacheField name="Order Date" numFmtId="0">
      <sharedItems containsSemiMixedTypes="0" containsString="0" containsNonDate="0" containsDate="1" minDate="2024-01-01T00:00:00" maxDate="2024-02-04T00:00:00" count="35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1-11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</sharedItems>
      <fieldGroup base="1">
        <rangePr groupBy="months" startDate="2024-01-01T00:00:00" endDate="2024-02-04T00:00:00" groupInterval="1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4-02-2024"/>
        </groupItems>
      </fieldGroup>
    </cacheField>
    <cacheField name="Customer Name" numFmtId="0">
      <sharedItems count="51">
        <s v="John Smith"/>
        <s v="Jane Doe"/>
        <s v="Michael Johnson"/>
        <s v="Emily Brown"/>
        <s v="David Wilson"/>
        <s v="Lisa Taylor"/>
        <s v="Daniel Martinez"/>
        <s v="Sarah Anderson"/>
        <s v="Christopher Thomas"/>
        <s v="Kimberly Garcia"/>
        <s v="William Hernandez"/>
        <s v="Melissa Lopez"/>
        <s v="Richard Perez"/>
        <s v="Jessica Gonzalez"/>
        <s v="Matthew Wilson"/>
        <s v="Amanda Martinez"/>
        <s v="James Johnson"/>
        <s v="Laura Brown"/>
        <s v="Daniel Smith"/>
        <s v="Jennifer Davis"/>
        <s v="Michael Garcia"/>
        <s v="Amy Hernandez"/>
        <s v="Christopher Rodriguez"/>
        <s v="Jessica Martinez"/>
        <s v="Sarah Smith"/>
        <s v="Matthew Johnson"/>
        <s v="Emily Davis"/>
        <s v="Daniel Wilson"/>
        <s v="Jennifer Martinez"/>
        <s v="Michael Smith"/>
        <s v="Jessica Johnson"/>
        <s v="David Brown"/>
        <s v="Sarah Garcia"/>
        <s v="Matthew Hernandez"/>
        <s v="Emily Rodriguez"/>
        <s v="Daniel Davis"/>
        <s v="Jennifer Smith"/>
        <s v="Sarah Johnson"/>
        <s v="Matthew Garcia"/>
        <s v="Daniel Hernandez"/>
        <s v="Michael Martinez"/>
        <s v="Jessica Wilson"/>
        <s v="David Rodriguez"/>
        <s v="Sarah Gonzalez"/>
        <s v="Matthew Smith"/>
        <s v="Emily Johnson"/>
        <s v="Daniel Brown"/>
        <s v="Jennifer Hernandez"/>
        <s v="Michael Davis"/>
        <s v="Jessica Smith"/>
        <s v="David Martinez"/>
      </sharedItems>
    </cacheField>
    <cacheField name="Ship Date" numFmtId="182">
      <sharedItems containsSemiMixedTypes="0" containsString="0" containsNonDate="0" containsDate="1" minDate="2024-01-03T00:00:00" maxDate="2024-02-08T00:00:00" count="34">
        <d v="2024-01-03T00:00:00"/>
        <d v="2024-01-04T00:00:00"/>
        <d v="2024-01-07T00:00:00"/>
        <d v="2024-01-08T00:00:00"/>
        <d v="2024-01-06T00:00:00"/>
        <d v="2024-01-09T00:00:00"/>
        <d v="2024-01-12T00:00:00"/>
        <d v="2024-01-13T00:00:00"/>
        <d v="2024-01-14T00:00:00"/>
        <d v="2024-01-11T00:00:00"/>
        <d v="2024-01-15T00:00:00"/>
        <d v="2024-01-17T00:00:00"/>
        <d v="2024-01-18T00:00:00"/>
        <d v="2024-01-19T00:00:00"/>
        <d v="2024-01-23T00:00:00"/>
        <d v="2024-01-20T00:00:00"/>
        <d v="2024-01-22T00:00:00"/>
        <d v="2024-01-24T00:00:00"/>
        <d v="2024-01-21T00:00:00"/>
        <d v="2024-01-26T00:00:00"/>
        <d v="2024-01-25T00:00:00"/>
        <d v="2024-01-27T00:00:00"/>
        <d v="2024-01-30T00:00:00"/>
        <d v="2024-01-29T00:00:00"/>
        <d v="2024-01-28T00:00:00"/>
        <d v="2024-01-31T00:00:00"/>
        <d v="2024-02-01T00:00:00"/>
        <d v="2024-02-02T00:00:00"/>
        <d v="2024-02-04T00:00:00"/>
        <d v="2024-02-05T00:00:00"/>
        <d v="2024-02-03T00:00:00"/>
        <d v="2024-02-06T00:00:00"/>
        <d v="2024-02-08T00:00:00"/>
        <d v="2024-02-07T00:00:00"/>
      </sharedItems>
    </cacheField>
    <cacheField name="Retail Price (USD)" numFmtId="0">
      <sharedItems containsSemiMixedTypes="0" containsString="0" containsNumber="1" minValue="19.99" maxValue="199.99" count="11">
        <n v="49.99"/>
        <n v="29.99"/>
        <n v="99.99"/>
        <n v="19.99"/>
        <n v="149.99"/>
        <n v="79.99"/>
        <n v="39.99"/>
        <n v="69.99"/>
        <n v="89.99"/>
        <n v="199.99"/>
        <n v="129.99"/>
      </sharedItems>
    </cacheField>
    <cacheField name="Order Quantity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Tax (USD)" numFmtId="0">
      <sharedItems containsSemiMixedTypes="0" containsString="0" containsNumber="1" minValue="2.999" maxValue="29.997" count="13">
        <n v="9.998"/>
        <n v="2.999"/>
        <n v="29.997"/>
        <n v="7.996"/>
        <n v="14.999"/>
        <n v="15.998"/>
        <n v="11.997"/>
        <n v="13.998"/>
        <n v="8.999"/>
        <n v="19.999"/>
        <n v="14.995"/>
        <n v="14.997"/>
        <n v="12.999"/>
      </sharedItems>
    </cacheField>
    <cacheField name="Total (USD)" numFmtId="0">
      <sharedItems containsSemiMixedTypes="0" containsString="0" containsNumber="1" minValue="32.989" maxValue="329.967" count="13">
        <n v="109.978"/>
        <n v="32.989"/>
        <n v="329.967"/>
        <n v="87.956"/>
        <n v="164.989"/>
        <n v="175.978"/>
        <n v="131.967"/>
        <n v="153.978"/>
        <n v="98.989"/>
        <n v="219.989"/>
        <n v="164.945"/>
        <n v="164.967"/>
        <n v="142.989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0"/>
</file>

<file path=xl/pivotCache/pivotCacheRecords2.xml><?xml version="1.0" encoding="utf-8"?>
<pivotCacheRecords xmlns="http://schemas.openxmlformats.org/spreadsheetml/2006/main" xmlns:r="http://schemas.openxmlformats.org/officeDocument/2006/relationships" count="70">
  <r>
    <x v="0"/>
    <x v="0"/>
    <x v="0"/>
    <x v="0"/>
    <x v="0"/>
    <x v="0"/>
    <x v="0"/>
    <x v="0"/>
  </r>
  <r>
    <x v="1"/>
    <x v="0"/>
    <x v="1"/>
    <x v="1"/>
    <x v="1"/>
    <x v="1"/>
    <x v="1"/>
    <x v="1"/>
  </r>
  <r>
    <x v="2"/>
    <x v="1"/>
    <x v="2"/>
    <x v="2"/>
    <x v="2"/>
    <x v="2"/>
    <x v="2"/>
    <x v="2"/>
  </r>
  <r>
    <x v="3"/>
    <x v="1"/>
    <x v="3"/>
    <x v="0"/>
    <x v="3"/>
    <x v="3"/>
    <x v="3"/>
    <x v="3"/>
  </r>
  <r>
    <x v="4"/>
    <x v="2"/>
    <x v="4"/>
    <x v="3"/>
    <x v="4"/>
    <x v="1"/>
    <x v="4"/>
    <x v="4"/>
  </r>
  <r>
    <x v="5"/>
    <x v="2"/>
    <x v="5"/>
    <x v="4"/>
    <x v="5"/>
    <x v="0"/>
    <x v="5"/>
    <x v="5"/>
  </r>
  <r>
    <x v="6"/>
    <x v="3"/>
    <x v="6"/>
    <x v="4"/>
    <x v="6"/>
    <x v="2"/>
    <x v="6"/>
    <x v="6"/>
  </r>
  <r>
    <x v="7"/>
    <x v="3"/>
    <x v="7"/>
    <x v="5"/>
    <x v="7"/>
    <x v="0"/>
    <x v="7"/>
    <x v="7"/>
  </r>
  <r>
    <x v="8"/>
    <x v="4"/>
    <x v="8"/>
    <x v="4"/>
    <x v="8"/>
    <x v="1"/>
    <x v="8"/>
    <x v="8"/>
  </r>
  <r>
    <x v="9"/>
    <x v="4"/>
    <x v="9"/>
    <x v="3"/>
    <x v="9"/>
    <x v="1"/>
    <x v="9"/>
    <x v="9"/>
  </r>
  <r>
    <x v="10"/>
    <x v="5"/>
    <x v="10"/>
    <x v="2"/>
    <x v="1"/>
    <x v="4"/>
    <x v="10"/>
    <x v="10"/>
  </r>
  <r>
    <x v="11"/>
    <x v="5"/>
    <x v="11"/>
    <x v="3"/>
    <x v="5"/>
    <x v="0"/>
    <x v="5"/>
    <x v="5"/>
  </r>
  <r>
    <x v="12"/>
    <x v="6"/>
    <x v="12"/>
    <x v="5"/>
    <x v="0"/>
    <x v="2"/>
    <x v="11"/>
    <x v="11"/>
  </r>
  <r>
    <x v="13"/>
    <x v="6"/>
    <x v="13"/>
    <x v="6"/>
    <x v="10"/>
    <x v="1"/>
    <x v="12"/>
    <x v="12"/>
  </r>
  <r>
    <x v="14"/>
    <x v="7"/>
    <x v="14"/>
    <x v="7"/>
    <x v="3"/>
    <x v="3"/>
    <x v="3"/>
    <x v="3"/>
  </r>
  <r>
    <x v="15"/>
    <x v="7"/>
    <x v="15"/>
    <x v="6"/>
    <x v="4"/>
    <x v="1"/>
    <x v="4"/>
    <x v="4"/>
  </r>
  <r>
    <x v="16"/>
    <x v="8"/>
    <x v="16"/>
    <x v="8"/>
    <x v="7"/>
    <x v="0"/>
    <x v="7"/>
    <x v="7"/>
  </r>
  <r>
    <x v="17"/>
    <x v="8"/>
    <x v="17"/>
    <x v="6"/>
    <x v="6"/>
    <x v="2"/>
    <x v="6"/>
    <x v="6"/>
  </r>
  <r>
    <x v="18"/>
    <x v="9"/>
    <x v="18"/>
    <x v="9"/>
    <x v="9"/>
    <x v="1"/>
    <x v="9"/>
    <x v="9"/>
  </r>
  <r>
    <x v="19"/>
    <x v="9"/>
    <x v="19"/>
    <x v="8"/>
    <x v="1"/>
    <x v="4"/>
    <x v="10"/>
    <x v="10"/>
  </r>
  <r>
    <x v="20"/>
    <x v="10"/>
    <x v="20"/>
    <x v="8"/>
    <x v="5"/>
    <x v="0"/>
    <x v="5"/>
    <x v="5"/>
  </r>
  <r>
    <x v="21"/>
    <x v="10"/>
    <x v="21"/>
    <x v="10"/>
    <x v="0"/>
    <x v="2"/>
    <x v="11"/>
    <x v="11"/>
  </r>
  <r>
    <x v="22"/>
    <x v="11"/>
    <x v="22"/>
    <x v="11"/>
    <x v="10"/>
    <x v="1"/>
    <x v="12"/>
    <x v="12"/>
  </r>
  <r>
    <x v="23"/>
    <x v="11"/>
    <x v="23"/>
    <x v="11"/>
    <x v="3"/>
    <x v="3"/>
    <x v="3"/>
    <x v="3"/>
  </r>
  <r>
    <x v="24"/>
    <x v="12"/>
    <x v="4"/>
    <x v="11"/>
    <x v="4"/>
    <x v="1"/>
    <x v="4"/>
    <x v="4"/>
  </r>
  <r>
    <x v="25"/>
    <x v="12"/>
    <x v="24"/>
    <x v="8"/>
    <x v="7"/>
    <x v="0"/>
    <x v="7"/>
    <x v="7"/>
  </r>
  <r>
    <x v="26"/>
    <x v="13"/>
    <x v="25"/>
    <x v="12"/>
    <x v="6"/>
    <x v="2"/>
    <x v="6"/>
    <x v="6"/>
  </r>
  <r>
    <x v="27"/>
    <x v="13"/>
    <x v="26"/>
    <x v="13"/>
    <x v="9"/>
    <x v="1"/>
    <x v="9"/>
    <x v="9"/>
  </r>
  <r>
    <x v="28"/>
    <x v="14"/>
    <x v="27"/>
    <x v="13"/>
    <x v="1"/>
    <x v="4"/>
    <x v="10"/>
    <x v="10"/>
  </r>
  <r>
    <x v="29"/>
    <x v="14"/>
    <x v="28"/>
    <x v="13"/>
    <x v="5"/>
    <x v="0"/>
    <x v="5"/>
    <x v="5"/>
  </r>
  <r>
    <x v="30"/>
    <x v="15"/>
    <x v="29"/>
    <x v="13"/>
    <x v="0"/>
    <x v="2"/>
    <x v="11"/>
    <x v="11"/>
  </r>
  <r>
    <x v="31"/>
    <x v="15"/>
    <x v="30"/>
    <x v="11"/>
    <x v="10"/>
    <x v="1"/>
    <x v="12"/>
    <x v="12"/>
  </r>
  <r>
    <x v="32"/>
    <x v="16"/>
    <x v="31"/>
    <x v="13"/>
    <x v="3"/>
    <x v="3"/>
    <x v="3"/>
    <x v="3"/>
  </r>
  <r>
    <x v="33"/>
    <x v="16"/>
    <x v="32"/>
    <x v="13"/>
    <x v="4"/>
    <x v="1"/>
    <x v="4"/>
    <x v="4"/>
  </r>
  <r>
    <x v="34"/>
    <x v="17"/>
    <x v="33"/>
    <x v="14"/>
    <x v="7"/>
    <x v="0"/>
    <x v="7"/>
    <x v="7"/>
  </r>
  <r>
    <x v="35"/>
    <x v="17"/>
    <x v="34"/>
    <x v="13"/>
    <x v="6"/>
    <x v="2"/>
    <x v="6"/>
    <x v="6"/>
  </r>
  <r>
    <x v="36"/>
    <x v="18"/>
    <x v="35"/>
    <x v="15"/>
    <x v="9"/>
    <x v="1"/>
    <x v="9"/>
    <x v="9"/>
  </r>
  <r>
    <x v="37"/>
    <x v="18"/>
    <x v="36"/>
    <x v="16"/>
    <x v="1"/>
    <x v="4"/>
    <x v="10"/>
    <x v="10"/>
  </r>
  <r>
    <x v="38"/>
    <x v="19"/>
    <x v="2"/>
    <x v="17"/>
    <x v="5"/>
    <x v="0"/>
    <x v="5"/>
    <x v="5"/>
  </r>
  <r>
    <x v="39"/>
    <x v="19"/>
    <x v="23"/>
    <x v="18"/>
    <x v="0"/>
    <x v="2"/>
    <x v="11"/>
    <x v="11"/>
  </r>
  <r>
    <x v="40"/>
    <x v="20"/>
    <x v="4"/>
    <x v="19"/>
    <x v="10"/>
    <x v="1"/>
    <x v="12"/>
    <x v="12"/>
  </r>
  <r>
    <x v="41"/>
    <x v="20"/>
    <x v="37"/>
    <x v="14"/>
    <x v="3"/>
    <x v="3"/>
    <x v="3"/>
    <x v="3"/>
  </r>
  <r>
    <x v="42"/>
    <x v="21"/>
    <x v="38"/>
    <x v="20"/>
    <x v="4"/>
    <x v="1"/>
    <x v="4"/>
    <x v="4"/>
  </r>
  <r>
    <x v="43"/>
    <x v="21"/>
    <x v="3"/>
    <x v="20"/>
    <x v="7"/>
    <x v="0"/>
    <x v="7"/>
    <x v="7"/>
  </r>
  <r>
    <x v="44"/>
    <x v="22"/>
    <x v="39"/>
    <x v="21"/>
    <x v="6"/>
    <x v="2"/>
    <x v="6"/>
    <x v="6"/>
  </r>
  <r>
    <x v="45"/>
    <x v="22"/>
    <x v="19"/>
    <x v="19"/>
    <x v="9"/>
    <x v="1"/>
    <x v="9"/>
    <x v="9"/>
  </r>
  <r>
    <x v="46"/>
    <x v="23"/>
    <x v="40"/>
    <x v="20"/>
    <x v="1"/>
    <x v="4"/>
    <x v="10"/>
    <x v="10"/>
  </r>
  <r>
    <x v="47"/>
    <x v="23"/>
    <x v="41"/>
    <x v="19"/>
    <x v="5"/>
    <x v="0"/>
    <x v="5"/>
    <x v="5"/>
  </r>
  <r>
    <x v="48"/>
    <x v="24"/>
    <x v="42"/>
    <x v="22"/>
    <x v="0"/>
    <x v="2"/>
    <x v="11"/>
    <x v="11"/>
  </r>
  <r>
    <x v="49"/>
    <x v="24"/>
    <x v="43"/>
    <x v="21"/>
    <x v="10"/>
    <x v="1"/>
    <x v="12"/>
    <x v="12"/>
  </r>
  <r>
    <x v="50"/>
    <x v="25"/>
    <x v="44"/>
    <x v="23"/>
    <x v="3"/>
    <x v="3"/>
    <x v="3"/>
    <x v="3"/>
  </r>
  <r>
    <x v="51"/>
    <x v="25"/>
    <x v="45"/>
    <x v="24"/>
    <x v="4"/>
    <x v="1"/>
    <x v="4"/>
    <x v="4"/>
  </r>
  <r>
    <x v="52"/>
    <x v="26"/>
    <x v="46"/>
    <x v="25"/>
    <x v="7"/>
    <x v="0"/>
    <x v="7"/>
    <x v="7"/>
  </r>
  <r>
    <x v="53"/>
    <x v="26"/>
    <x v="47"/>
    <x v="25"/>
    <x v="6"/>
    <x v="2"/>
    <x v="6"/>
    <x v="6"/>
  </r>
  <r>
    <x v="54"/>
    <x v="27"/>
    <x v="48"/>
    <x v="23"/>
    <x v="9"/>
    <x v="1"/>
    <x v="9"/>
    <x v="9"/>
  </r>
  <r>
    <x v="55"/>
    <x v="27"/>
    <x v="49"/>
    <x v="23"/>
    <x v="1"/>
    <x v="4"/>
    <x v="10"/>
    <x v="10"/>
  </r>
  <r>
    <x v="56"/>
    <x v="28"/>
    <x v="50"/>
    <x v="22"/>
    <x v="5"/>
    <x v="0"/>
    <x v="5"/>
    <x v="5"/>
  </r>
  <r>
    <x v="57"/>
    <x v="28"/>
    <x v="37"/>
    <x v="25"/>
    <x v="0"/>
    <x v="2"/>
    <x v="11"/>
    <x v="11"/>
  </r>
  <r>
    <x v="58"/>
    <x v="29"/>
    <x v="38"/>
    <x v="25"/>
    <x v="10"/>
    <x v="1"/>
    <x v="12"/>
    <x v="12"/>
  </r>
  <r>
    <x v="59"/>
    <x v="29"/>
    <x v="3"/>
    <x v="26"/>
    <x v="3"/>
    <x v="3"/>
    <x v="3"/>
    <x v="3"/>
  </r>
  <r>
    <x v="60"/>
    <x v="30"/>
    <x v="39"/>
    <x v="27"/>
    <x v="4"/>
    <x v="1"/>
    <x v="4"/>
    <x v="4"/>
  </r>
  <r>
    <x v="61"/>
    <x v="30"/>
    <x v="19"/>
    <x v="28"/>
    <x v="7"/>
    <x v="0"/>
    <x v="7"/>
    <x v="7"/>
  </r>
  <r>
    <x v="62"/>
    <x v="31"/>
    <x v="40"/>
    <x v="27"/>
    <x v="6"/>
    <x v="2"/>
    <x v="6"/>
    <x v="6"/>
  </r>
  <r>
    <x v="63"/>
    <x v="31"/>
    <x v="41"/>
    <x v="29"/>
    <x v="9"/>
    <x v="1"/>
    <x v="9"/>
    <x v="9"/>
  </r>
  <r>
    <x v="64"/>
    <x v="31"/>
    <x v="42"/>
    <x v="30"/>
    <x v="1"/>
    <x v="4"/>
    <x v="10"/>
    <x v="10"/>
  </r>
  <r>
    <x v="65"/>
    <x v="32"/>
    <x v="43"/>
    <x v="31"/>
    <x v="5"/>
    <x v="0"/>
    <x v="5"/>
    <x v="5"/>
  </r>
  <r>
    <x v="66"/>
    <x v="33"/>
    <x v="44"/>
    <x v="31"/>
    <x v="0"/>
    <x v="2"/>
    <x v="11"/>
    <x v="11"/>
  </r>
  <r>
    <x v="67"/>
    <x v="34"/>
    <x v="45"/>
    <x v="29"/>
    <x v="10"/>
    <x v="1"/>
    <x v="12"/>
    <x v="12"/>
  </r>
  <r>
    <x v="68"/>
    <x v="34"/>
    <x v="46"/>
    <x v="32"/>
    <x v="3"/>
    <x v="3"/>
    <x v="3"/>
    <x v="3"/>
  </r>
  <r>
    <x v="69"/>
    <x v="34"/>
    <x v="47"/>
    <x v="33"/>
    <x v="4"/>
    <x v="1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4:G57" firstHeaderRow="1" firstDataRow="2" firstDataCol="1"/>
  <pivotFields count="11">
    <pivotField compact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compact="0" numFmtId="182" showAll="0"/>
    <pivotField axis="axisRow" compact="0" showAll="0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</pivotField>
    <pivotField compact="0" numFmtId="182" showAll="0"/>
    <pivotField compact="0" showAll="0"/>
    <pivotField axis="axisCol" compact="0" showAll="0">
      <items count="6">
        <item x="1"/>
        <item x="0"/>
        <item x="2"/>
        <item x="3"/>
        <item x="4"/>
        <item t="default"/>
      </items>
    </pivotField>
    <pivotField compact="0" showAll="0"/>
    <pivotField dataField="1" compact="0" showAll="0">
      <items count="14">
        <item x="1"/>
        <item x="3"/>
        <item x="8"/>
        <item x="0"/>
        <item x="6"/>
        <item x="12"/>
        <item x="7"/>
        <item x="10"/>
        <item x="11"/>
        <item x="4"/>
        <item x="5"/>
        <item x="9"/>
        <item x="2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(USD)" fld="7" baseField="0" baseItem="0"/>
  </dataFields>
  <formats count="10">
    <format dxfId="0">
      <pivotArea field="2" type="button" dataOnly="0" labelOnly="1" outline="0" fieldPosition="0"/>
    </format>
    <format dxfId="1">
      <pivotArea dataOnly="0" labelOnly="1" grandRow="1" fieldPosition="0"/>
    </format>
    <format dxfId="2">
      <pivotArea grandRow="1" collapsedLevelsAreSubtotals="1" fieldPosition="0"/>
    </format>
    <format dxfId="3">
      <pivotArea dataOnly="0" labelOnly="1" fieldPosition="0">
        <references count="1">
          <reference field="4294967294" count="1">
            <x v="0"/>
          </reference>
        </references>
      </pivotArea>
    </format>
    <format dxfId="4">
      <pivotArea field="2" type="button" dataOnly="0" labelOnly="1" outline="0" fieldPosition="0"/>
    </format>
    <format dxfId="5">
      <pivotArea dataOnly="0" labelOnly="1" fieldPosition="0">
        <references count="1">
          <reference field="4294967294" count="1">
            <x v="0"/>
          </reference>
        </references>
      </pivotArea>
    </format>
    <format dxfId="6">
      <pivotArea field="2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type="origin" dataOnly="0" labelOnly="1" outline="0" fieldPosition="0"/>
    </format>
    <format dxfId="9">
      <pivotArea field="5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61:D114" firstHeaderRow="1" firstDataRow="2" firstDataCol="1"/>
  <pivotFields count="8">
    <pivotField compact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axis="axisCol" compact="0" numFmtId="182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showAll="0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</pivotField>
    <pivotField compact="0" numFmtId="182" showAll="0">
      <items count="35">
        <item x="0"/>
        <item x="1"/>
        <item x="4"/>
        <item x="2"/>
        <item x="3"/>
        <item x="5"/>
        <item x="9"/>
        <item x="6"/>
        <item x="7"/>
        <item x="8"/>
        <item x="10"/>
        <item x="11"/>
        <item x="12"/>
        <item x="13"/>
        <item x="15"/>
        <item x="18"/>
        <item x="16"/>
        <item x="14"/>
        <item x="17"/>
        <item x="20"/>
        <item x="19"/>
        <item x="21"/>
        <item x="24"/>
        <item x="23"/>
        <item x="22"/>
        <item x="25"/>
        <item x="26"/>
        <item x="27"/>
        <item x="30"/>
        <item x="28"/>
        <item x="29"/>
        <item x="31"/>
        <item x="33"/>
        <item x="32"/>
        <item t="default"/>
      </items>
    </pivotField>
    <pivotField compact="0" showAll="0">
      <items count="12">
        <item x="3"/>
        <item x="1"/>
        <item x="6"/>
        <item x="0"/>
        <item x="7"/>
        <item x="5"/>
        <item x="8"/>
        <item x="2"/>
        <item x="10"/>
        <item x="4"/>
        <item x="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4">
        <item x="1"/>
        <item x="3"/>
        <item x="8"/>
        <item x="0"/>
        <item x="6"/>
        <item x="12"/>
        <item x="7"/>
        <item x="10"/>
        <item x="11"/>
        <item x="4"/>
        <item x="5"/>
        <item x="9"/>
        <item x="2"/>
        <item t="default"/>
      </items>
    </pivotField>
    <pivotField dataField="1" compact="0" showAll="0">
      <items count="14">
        <item x="1"/>
        <item x="3"/>
        <item x="8"/>
        <item x="0"/>
        <item x="6"/>
        <item x="12"/>
        <item x="7"/>
        <item x="10"/>
        <item x="11"/>
        <item x="4"/>
        <item x="5"/>
        <item x="9"/>
        <item x="2"/>
        <item t="default"/>
      </items>
    </pivotField>
  </pivotFields>
  <rowFields count="1">
    <field x="2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 of Total (USD)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18:B130" firstHeaderRow="1" firstDataRow="1" firstDataCol="1"/>
  <pivotFields count="8">
    <pivotField compact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compact="0" numFmtId="182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measureFilter="1" compact="0" showAll="0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</pivotField>
    <pivotField compact="0" numFmtId="182" showAll="0">
      <items count="35">
        <item x="0"/>
        <item x="1"/>
        <item x="4"/>
        <item x="2"/>
        <item x="3"/>
        <item x="5"/>
        <item x="9"/>
        <item x="6"/>
        <item x="7"/>
        <item x="8"/>
        <item x="10"/>
        <item x="11"/>
        <item x="12"/>
        <item x="13"/>
        <item x="15"/>
        <item x="18"/>
        <item x="16"/>
        <item x="14"/>
        <item x="17"/>
        <item x="20"/>
        <item x="19"/>
        <item x="21"/>
        <item x="24"/>
        <item x="23"/>
        <item x="22"/>
        <item x="25"/>
        <item x="26"/>
        <item x="27"/>
        <item x="30"/>
        <item x="28"/>
        <item x="29"/>
        <item x="31"/>
        <item x="33"/>
        <item x="32"/>
        <item t="default"/>
      </items>
    </pivotField>
    <pivotField compact="0" showAll="0">
      <items count="12">
        <item x="3"/>
        <item x="1"/>
        <item x="6"/>
        <item x="0"/>
        <item x="7"/>
        <item x="5"/>
        <item x="8"/>
        <item x="2"/>
        <item x="10"/>
        <item x="4"/>
        <item x="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4">
        <item x="1"/>
        <item x="3"/>
        <item x="8"/>
        <item x="0"/>
        <item x="6"/>
        <item x="12"/>
        <item x="7"/>
        <item x="10"/>
        <item x="11"/>
        <item x="4"/>
        <item x="5"/>
        <item x="9"/>
        <item x="2"/>
        <item t="default"/>
      </items>
    </pivotField>
    <pivotField dataField="1" compact="0" showAll="0">
      <items count="14">
        <item x="1"/>
        <item x="3"/>
        <item x="8"/>
        <item x="0"/>
        <item x="6"/>
        <item x="12"/>
        <item x="7"/>
        <item x="10"/>
        <item x="11"/>
        <item x="4"/>
        <item x="5"/>
        <item x="9"/>
        <item x="2"/>
        <item t="default"/>
      </items>
    </pivotField>
  </pivotFields>
  <rowFields count="1">
    <field x="2"/>
  </rowFields>
  <rowItems count="12">
    <i>
      <x v="6"/>
    </i>
    <i>
      <x v="12"/>
    </i>
    <i>
      <x v="13"/>
    </i>
    <i>
      <x v="14"/>
    </i>
    <i>
      <x v="16"/>
    </i>
    <i>
      <x v="20"/>
    </i>
    <i>
      <x v="21"/>
    </i>
    <i>
      <x v="28"/>
    </i>
    <i>
      <x v="33"/>
    </i>
    <i>
      <x v="41"/>
    </i>
    <i>
      <x v="47"/>
    </i>
    <i t="grand">
      <x/>
    </i>
  </rowItems>
  <colItems count="1">
    <i/>
  </colItems>
  <dataFields count="1">
    <dataField name="Sum of Total (USD)" fld="7" baseField="0" baseItem="0"/>
  </dataFields>
  <pivotTableStyleInfo name="PivotStyleLight16" showRowHeaders="1" showColHeaders="1" showLastColumn="1"/>
  <filters count="1">
    <filter evalOrder="-1" fld="2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35:C149" firstHeaderRow="0" firstDataRow="1" firstDataCol="1"/>
  <pivotFields count="8">
    <pivotField dataField="1" compact="0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  <pivotField compact="0" numFmtId="182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measureFilter="1" compact="0" showAll="0">
      <items count="52">
        <item x="15"/>
        <item x="21"/>
        <item x="22"/>
        <item x="8"/>
        <item x="46"/>
        <item x="35"/>
        <item x="39"/>
        <item x="6"/>
        <item x="18"/>
        <item x="27"/>
        <item x="31"/>
        <item x="50"/>
        <item x="42"/>
        <item x="4"/>
        <item x="3"/>
        <item x="26"/>
        <item x="45"/>
        <item x="34"/>
        <item x="16"/>
        <item x="1"/>
        <item x="19"/>
        <item x="47"/>
        <item x="28"/>
        <item x="36"/>
        <item x="13"/>
        <item x="30"/>
        <item x="23"/>
        <item x="49"/>
        <item x="41"/>
        <item x="0"/>
        <item x="9"/>
        <item x="17"/>
        <item x="5"/>
        <item x="38"/>
        <item x="33"/>
        <item x="25"/>
        <item x="44"/>
        <item x="14"/>
        <item x="11"/>
        <item x="48"/>
        <item x="20"/>
        <item x="2"/>
        <item x="40"/>
        <item x="29"/>
        <item x="12"/>
        <item x="7"/>
        <item x="32"/>
        <item x="43"/>
        <item x="37"/>
        <item x="24"/>
        <item x="10"/>
        <item t="default"/>
      </items>
    </pivotField>
    <pivotField compact="0" numFmtId="182" showAll="0">
      <items count="35">
        <item x="0"/>
        <item x="1"/>
        <item x="4"/>
        <item x="2"/>
        <item x="3"/>
        <item x="5"/>
        <item x="9"/>
        <item x="6"/>
        <item x="7"/>
        <item x="8"/>
        <item x="10"/>
        <item x="11"/>
        <item x="12"/>
        <item x="13"/>
        <item x="15"/>
        <item x="18"/>
        <item x="16"/>
        <item x="14"/>
        <item x="17"/>
        <item x="20"/>
        <item x="19"/>
        <item x="21"/>
        <item x="24"/>
        <item x="23"/>
        <item x="22"/>
        <item x="25"/>
        <item x="26"/>
        <item x="27"/>
        <item x="30"/>
        <item x="28"/>
        <item x="29"/>
        <item x="31"/>
        <item x="33"/>
        <item x="32"/>
        <item t="default"/>
      </items>
    </pivotField>
    <pivotField compact="0" showAll="0">
      <items count="12">
        <item x="3"/>
        <item x="1"/>
        <item x="6"/>
        <item x="0"/>
        <item x="7"/>
        <item x="5"/>
        <item x="8"/>
        <item x="2"/>
        <item x="10"/>
        <item x="4"/>
        <item x="9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/>
    <pivotField dataField="1" compact="0" showAll="0">
      <items count="14">
        <item x="1"/>
        <item x="3"/>
        <item x="8"/>
        <item x="0"/>
        <item x="6"/>
        <item x="12"/>
        <item x="7"/>
        <item x="10"/>
        <item x="11"/>
        <item x="4"/>
        <item x="5"/>
        <item x="9"/>
        <item x="2"/>
        <item t="default"/>
      </items>
    </pivotField>
  </pivotFields>
  <rowFields count="1">
    <field x="2"/>
  </rowFields>
  <rowItems count="14">
    <i>
      <x v="4"/>
    </i>
    <i>
      <x v="6"/>
    </i>
    <i>
      <x v="12"/>
    </i>
    <i>
      <x v="16"/>
    </i>
    <i>
      <x v="21"/>
    </i>
    <i>
      <x v="26"/>
    </i>
    <i>
      <x v="28"/>
    </i>
    <i>
      <x v="33"/>
    </i>
    <i>
      <x v="36"/>
    </i>
    <i>
      <x v="41"/>
    </i>
    <i>
      <x v="42"/>
    </i>
    <i>
      <x v="47"/>
    </i>
    <i>
      <x v="4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No" fld="0" subtotal="count" baseField="0" baseItem="0" numFmtId="180"/>
    <dataField name="Sum of Total (USD)" fld="7" baseField="0" baseItem="0"/>
  </dataFields>
  <pivotTableStyleInfo name="PivotStyleLight16" showRowHeaders="1" showColHeaders="1" showLastColumn="1"/>
  <filters count="1">
    <filter evalOrder="-1" fld="2" iMeasureFld="0" id="4" type="valueEqual">
      <autoFilter ref="A1">
        <filterColumn colId="0">
          <customFilters>
            <customFilter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 Date">
  <pivotTables>
    <pivotTable tabId="8" name="PivotTable1"/>
  </pivotTables>
  <data>
    <tabular pivotCacheId="1">
      <items count="14">
        <i x="1" s="1"/>
        <i x="2" s="1"/>
        <i x="3" s="1" nd="1"/>
        <i x="4" s="1" nd="1"/>
        <i x="5" s="1" nd="1"/>
        <i x="6" s="1" nd="1"/>
        <i x="7" s="1" nd="1"/>
        <i x="8" s="1" nd="1"/>
        <i x="9" s="1" nd="1"/>
        <i x="10" s="1" nd="1"/>
        <i x="11" s="1" nd="1"/>
        <i x="12" s="1" nd="1"/>
        <i x="0" s="1" nd="1"/>
        <i x="1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tal__USD" sourceName="Total (USD)">
  <pivotTables>
    <pivotTable tabId="8" name="PivotTable1"/>
  </pivotTables>
  <data>
    <tabular pivotCacheId="1">
      <items count="13">
        <i x="1" s="1"/>
        <i x="3" s="1"/>
        <i x="8" s="1"/>
        <i x="0" s="1"/>
        <i x="6" s="1"/>
        <i x="12" s="1"/>
        <i x="7" s="1"/>
        <i x="10" s="1"/>
        <i x="11" s="1"/>
        <i x="4" s="1"/>
        <i x="5" s="1"/>
        <i x="9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Name" sourceName="Customer Name">
  <pivotTables>
    <pivotTable tabId="8" name="PivotTable3"/>
  </pivotTables>
  <data>
    <tabular pivotCacheId="1">
      <items count="51">
        <i x="15" s="1"/>
        <i x="21" s="1"/>
        <i x="22" s="1"/>
        <i x="8" s="1"/>
        <i x="46" s="1"/>
        <i x="35" s="1"/>
        <i x="39" s="1"/>
        <i x="6" s="1"/>
        <i x="18" s="1"/>
        <i x="27" s="1"/>
        <i x="31" s="1"/>
        <i x="50" s="1"/>
        <i x="42" s="1"/>
        <i x="4" s="1"/>
        <i x="3" s="1"/>
        <i x="26" s="1"/>
        <i x="45" s="1"/>
        <i x="34" s="1"/>
        <i x="16" s="1"/>
        <i x="1" s="1"/>
        <i x="19" s="1"/>
        <i x="47" s="1"/>
        <i x="28" s="1"/>
        <i x="36" s="1"/>
        <i x="13" s="1"/>
        <i x="30" s="1"/>
        <i x="23" s="1"/>
        <i x="49" s="1"/>
        <i x="41" s="1"/>
        <i x="0" s="1"/>
        <i x="9" s="1"/>
        <i x="17" s="1"/>
        <i x="5" s="1"/>
        <i x="38" s="1"/>
        <i x="33" s="1"/>
        <i x="25" s="1"/>
        <i x="44" s="1"/>
        <i x="14" s="1"/>
        <i x="11" s="1"/>
        <i x="48" s="1"/>
        <i x="20" s="1"/>
        <i x="2" s="1"/>
        <i x="40" s="1"/>
        <i x="29" s="1"/>
        <i x="12" s="1"/>
        <i x="7" s="1"/>
        <i x="32" s="1"/>
        <i x="43" s="1"/>
        <i x="37" s="1"/>
        <i x="24" s="1"/>
        <i x="1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otal__USD2" sourceName="Total (USD)">
  <pivotTables>
    <pivotTable tabId="8" name="PivotTable3"/>
  </pivotTables>
  <data>
    <tabular pivotCacheId="1">
      <items count="13">
        <i x="1" s="1"/>
        <i x="3" s="1"/>
        <i x="8" s="1"/>
        <i x="0" s="1"/>
        <i x="6" s="1"/>
        <i x="12" s="1"/>
        <i x="7" s="1"/>
        <i x="10" s="1"/>
        <i x="11" s="1"/>
        <i x="4" s="1"/>
        <i x="5" s="1"/>
        <i x="9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Date" cache="Slicer_Order_Date" caption="Order Date" rowHeight="225425"/>
  <slicer name="Total (USD)" cache="Slicer_Total__USD" caption="Total (USD)" rowHeight="225425"/>
  <slicer name="Customer Name" cache="Slicer_Customer_Name" caption="Customer Name" rowHeight="225425"/>
  <slicer name="Total (USD) 2" cache="Slicer_Total__USD2" caption="Total (USD)" rowHeight="225425"/>
</slicers>
</file>

<file path=xl/tables/table1.xml><?xml version="1.0" encoding="utf-8"?>
<table xmlns="http://schemas.openxmlformats.org/spreadsheetml/2006/main" id="1" name="Table1" displayName="Table1" ref="B5:L78" totalsRowShown="0">
  <autoFilter xmlns:etc="http://www.wps.cn/officeDocument/2017/etCustomData" ref="B5:L78" etc:filterBottomFollowUsedRange="0"/>
  <tableColumns count="11">
    <tableColumn id="1" name="Column1" dataDxfId="10"/>
    <tableColumn id="2" name="Column2" dataDxfId="11"/>
    <tableColumn id="3" name="Column3" dataDxfId="12"/>
    <tableColumn id="4" name="Column4" dataDxfId="13"/>
    <tableColumn id="5" name="Column5" dataDxfId="14"/>
    <tableColumn id="6" name="Column6" dataDxfId="15"/>
    <tableColumn id="7" name="Tax" dataDxfId="16"/>
    <tableColumn id="8" name="10%" dataDxfId="17"/>
    <tableColumn id="9" name="Column7" dataDxfId="18"/>
    <tableColumn id="11" name="Column9" dataDxfId="19"/>
    <tableColumn id="12" name="Column10" dataDxfId="20"/>
  </tableColumns>
  <tableStyleInfo name="TableStylePreset1_Accen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eme/themeOverride1.xml><?xml version="1.0" encoding="utf-8"?>
<a:themeOverride xmlns:a="http://schemas.openxmlformats.org/drawingml/2006/main">
  <a:clrScheme name="自定义 3">
    <a:dk1>
      <a:srgbClr val="000000"/>
    </a:dk1>
    <a:lt1>
      <a:srgbClr val="FFFFFF"/>
    </a:lt1>
    <a:dk2>
      <a:srgbClr val="44546A"/>
    </a:dk2>
    <a:lt2>
      <a:srgbClr val="E7E6E6"/>
    </a:lt2>
    <a:accent1>
      <a:srgbClr val="EE5796"/>
    </a:accent1>
    <a:accent2>
      <a:srgbClr val="F9B525"/>
    </a:accent2>
    <a:accent3>
      <a:srgbClr val="6D78FA"/>
    </a:accent3>
    <a:accent4>
      <a:srgbClr val="0EE2EF"/>
    </a:accent4>
    <a:accent5>
      <a:srgbClr val="93DE03"/>
    </a:accent5>
    <a:accent6>
      <a:srgbClr val="F5F804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3">
    <a:dk1>
      <a:srgbClr val="000000"/>
    </a:dk1>
    <a:lt1>
      <a:srgbClr val="FFFFFF"/>
    </a:lt1>
    <a:dk2>
      <a:srgbClr val="44546A"/>
    </a:dk2>
    <a:lt2>
      <a:srgbClr val="E7E6E6"/>
    </a:lt2>
    <a:accent1>
      <a:srgbClr val="EE5796"/>
    </a:accent1>
    <a:accent2>
      <a:srgbClr val="F9B525"/>
    </a:accent2>
    <a:accent3>
      <a:srgbClr val="6D78FA"/>
    </a:accent3>
    <a:accent4>
      <a:srgbClr val="0EE2EF"/>
    </a:accent4>
    <a:accent5>
      <a:srgbClr val="93DE03"/>
    </a:accent5>
    <a:accent6>
      <a:srgbClr val="F5F804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80"/>
  <sheetViews>
    <sheetView showGridLines="0" workbookViewId="0">
      <selection activeCell="K9" sqref="K9"/>
    </sheetView>
  </sheetViews>
  <sheetFormatPr defaultColWidth="9" defaultRowHeight="15"/>
  <cols>
    <col min="1" max="1" width="4.44166666666667" style="35" customWidth="1"/>
    <col min="2" max="2" width="10.1083333333333" style="35" customWidth="1"/>
    <col min="3" max="3" width="13.6666666666667" style="35" customWidth="1"/>
    <col min="4" max="4" width="19.4416666666667" style="35" customWidth="1"/>
    <col min="5" max="5" width="13.5583333333333" style="35" customWidth="1"/>
    <col min="6" max="6" width="19.5583333333333" style="35" customWidth="1"/>
    <col min="7" max="7" width="17.3333333333333" style="35" customWidth="1"/>
    <col min="8" max="8" width="11" style="35" customWidth="1"/>
    <col min="9" max="9" width="13.3333333333333" style="35" customWidth="1"/>
    <col min="10" max="10" width="8.88333333333333" style="35"/>
    <col min="11" max="11" width="14.125" style="35" customWidth="1"/>
    <col min="12" max="16384" width="8.88333333333333" style="35"/>
  </cols>
  <sheetData>
    <row r="2" s="35" customFormat="1" ht="19.5" spans="2:11">
      <c r="B2" s="61" t="s">
        <v>0</v>
      </c>
      <c r="C2" s="61"/>
      <c r="D2" s="61"/>
      <c r="E2" s="61"/>
      <c r="F2" s="61"/>
      <c r="G2" s="61"/>
      <c r="H2" s="61"/>
      <c r="I2" s="61"/>
    </row>
    <row r="4" s="35" customFormat="1" ht="19.5" spans="2:11">
      <c r="B4" s="62" t="s">
        <v>1</v>
      </c>
      <c r="C4" s="61"/>
      <c r="D4" s="61"/>
      <c r="E4" s="61"/>
      <c r="F4" s="61"/>
      <c r="G4" s="61"/>
      <c r="H4" s="61"/>
      <c r="I4" s="61"/>
    </row>
    <row r="6" s="35" customFormat="1" ht="15.75" spans="2:11">
      <c r="H6" s="38" t="s">
        <v>2</v>
      </c>
      <c r="I6" s="39">
        <v>0.1</v>
      </c>
    </row>
    <row r="8" s="35" customFormat="1" ht="15.75" spans="2:11">
      <c r="B8" s="38" t="s">
        <v>3</v>
      </c>
      <c r="C8" s="38" t="s">
        <v>4</v>
      </c>
      <c r="D8" s="38" t="s">
        <v>5</v>
      </c>
      <c r="E8" s="38" t="s">
        <v>6</v>
      </c>
      <c r="F8" s="38" t="s">
        <v>7</v>
      </c>
      <c r="G8" s="38" t="s">
        <v>8</v>
      </c>
      <c r="H8" s="38" t="s">
        <v>9</v>
      </c>
      <c r="I8" s="43" t="s">
        <v>10</v>
      </c>
    </row>
    <row r="9" s="35" customFormat="1" spans="2:11">
      <c r="B9" s="58" t="s">
        <v>11</v>
      </c>
      <c r="C9" s="57">
        <v>45292</v>
      </c>
      <c r="D9" s="58" t="s">
        <v>12</v>
      </c>
      <c r="E9" s="57">
        <v>45294</v>
      </c>
      <c r="F9" s="58">
        <v>49.99</v>
      </c>
      <c r="G9" s="58">
        <v>2</v>
      </c>
      <c r="H9" s="58">
        <f>F9*G9*$I$6</f>
        <v>9.998</v>
      </c>
      <c r="I9" s="58">
        <f>F9*G9+H9</f>
        <v>109.978</v>
      </c>
      <c r="K9" s="59"/>
    </row>
    <row r="10" s="35" customFormat="1" spans="2:11">
      <c r="B10" s="58" t="s">
        <v>13</v>
      </c>
      <c r="C10" s="57">
        <v>45292</v>
      </c>
      <c r="D10" s="58" t="s">
        <v>14</v>
      </c>
      <c r="E10" s="57">
        <v>45295</v>
      </c>
      <c r="F10" s="58">
        <v>29.99</v>
      </c>
      <c r="G10" s="58">
        <v>1</v>
      </c>
      <c r="H10" s="58">
        <f t="shared" ref="H10:H73" si="0">F10*G10*$I$6</f>
        <v>2.999</v>
      </c>
      <c r="I10" s="58">
        <f t="shared" ref="I10:I73" si="1">F10*G10+H10</f>
        <v>32.989</v>
      </c>
      <c r="K10" s="59"/>
    </row>
    <row r="11" s="35" customFormat="1" spans="2:11">
      <c r="B11" s="58" t="s">
        <v>15</v>
      </c>
      <c r="C11" s="57">
        <v>45293</v>
      </c>
      <c r="D11" s="58" t="s">
        <v>16</v>
      </c>
      <c r="E11" s="57">
        <v>45298</v>
      </c>
      <c r="F11" s="58">
        <v>99.99</v>
      </c>
      <c r="G11" s="58">
        <v>3</v>
      </c>
      <c r="H11" s="58">
        <f t="shared" si="0"/>
        <v>29.997</v>
      </c>
      <c r="I11" s="58">
        <f t="shared" si="1"/>
        <v>329.967</v>
      </c>
      <c r="K11" s="59"/>
    </row>
    <row r="12" s="35" customFormat="1" spans="2:11">
      <c r="B12" s="58" t="s">
        <v>17</v>
      </c>
      <c r="C12" s="57">
        <v>45293</v>
      </c>
      <c r="D12" s="58" t="s">
        <v>18</v>
      </c>
      <c r="E12" s="57">
        <v>45294</v>
      </c>
      <c r="F12" s="58">
        <v>19.99</v>
      </c>
      <c r="G12" s="58">
        <v>4</v>
      </c>
      <c r="H12" s="58">
        <f t="shared" si="0"/>
        <v>7.996</v>
      </c>
      <c r="I12" s="58">
        <f t="shared" si="1"/>
        <v>87.956</v>
      </c>
      <c r="K12" s="59"/>
    </row>
    <row r="13" s="35" customFormat="1" spans="2:11">
      <c r="B13" s="58" t="s">
        <v>19</v>
      </c>
      <c r="C13" s="57">
        <v>45294</v>
      </c>
      <c r="D13" s="58" t="s">
        <v>20</v>
      </c>
      <c r="E13" s="57">
        <v>45299</v>
      </c>
      <c r="F13" s="58">
        <v>149.99</v>
      </c>
      <c r="G13" s="58">
        <v>1</v>
      </c>
      <c r="H13" s="58">
        <f t="shared" si="0"/>
        <v>14.999</v>
      </c>
      <c r="I13" s="58">
        <f t="shared" si="1"/>
        <v>164.989</v>
      </c>
      <c r="K13" s="59"/>
    </row>
    <row r="14" s="35" customFormat="1" spans="2:11">
      <c r="B14" s="58" t="s">
        <v>21</v>
      </c>
      <c r="C14" s="57">
        <v>45294</v>
      </c>
      <c r="D14" s="58" t="s">
        <v>22</v>
      </c>
      <c r="E14" s="57">
        <v>45297</v>
      </c>
      <c r="F14" s="58">
        <v>79.99</v>
      </c>
      <c r="G14" s="58">
        <v>2</v>
      </c>
      <c r="H14" s="58">
        <f t="shared" si="0"/>
        <v>15.998</v>
      </c>
      <c r="I14" s="58">
        <f t="shared" si="1"/>
        <v>175.978</v>
      </c>
      <c r="K14" s="59"/>
    </row>
    <row r="15" s="35" customFormat="1" spans="2:11">
      <c r="B15" s="58" t="s">
        <v>23</v>
      </c>
      <c r="C15" s="57">
        <v>45295</v>
      </c>
      <c r="D15" s="58" t="s">
        <v>24</v>
      </c>
      <c r="E15" s="57">
        <v>45297</v>
      </c>
      <c r="F15" s="58">
        <v>39.99</v>
      </c>
      <c r="G15" s="58">
        <v>3</v>
      </c>
      <c r="H15" s="58">
        <f t="shared" si="0"/>
        <v>11.997</v>
      </c>
      <c r="I15" s="58">
        <f t="shared" si="1"/>
        <v>131.967</v>
      </c>
      <c r="K15" s="59"/>
    </row>
    <row r="16" s="35" customFormat="1" spans="2:11">
      <c r="B16" s="58" t="s">
        <v>25</v>
      </c>
      <c r="C16" s="57">
        <v>45295</v>
      </c>
      <c r="D16" s="58" t="s">
        <v>26</v>
      </c>
      <c r="E16" s="57">
        <v>45300</v>
      </c>
      <c r="F16" s="58">
        <v>69.99</v>
      </c>
      <c r="G16" s="58">
        <v>2</v>
      </c>
      <c r="H16" s="58">
        <f t="shared" si="0"/>
        <v>13.998</v>
      </c>
      <c r="I16" s="58">
        <f t="shared" si="1"/>
        <v>153.978</v>
      </c>
      <c r="K16" s="59"/>
    </row>
    <row r="17" s="35" customFormat="1" spans="2:11">
      <c r="B17" s="58" t="s">
        <v>27</v>
      </c>
      <c r="C17" s="57">
        <v>45296</v>
      </c>
      <c r="D17" s="58" t="s">
        <v>28</v>
      </c>
      <c r="E17" s="57">
        <v>45297</v>
      </c>
      <c r="F17" s="58">
        <v>89.99</v>
      </c>
      <c r="G17" s="58">
        <v>1</v>
      </c>
      <c r="H17" s="58">
        <f t="shared" si="0"/>
        <v>8.999</v>
      </c>
      <c r="I17" s="58">
        <f t="shared" si="1"/>
        <v>98.989</v>
      </c>
      <c r="K17" s="59"/>
    </row>
    <row r="18" s="35" customFormat="1" spans="2:11">
      <c r="B18" s="58" t="s">
        <v>29</v>
      </c>
      <c r="C18" s="57">
        <v>45296</v>
      </c>
      <c r="D18" s="58" t="s">
        <v>30</v>
      </c>
      <c r="E18" s="57">
        <v>45299</v>
      </c>
      <c r="F18" s="58">
        <v>199.99</v>
      </c>
      <c r="G18" s="58">
        <v>1</v>
      </c>
      <c r="H18" s="58">
        <f t="shared" si="0"/>
        <v>19.999</v>
      </c>
      <c r="I18" s="58">
        <f t="shared" si="1"/>
        <v>219.989</v>
      </c>
      <c r="K18" s="59"/>
    </row>
    <row r="19" s="35" customFormat="1" spans="2:11">
      <c r="B19" s="58" t="s">
        <v>31</v>
      </c>
      <c r="C19" s="57">
        <v>45297</v>
      </c>
      <c r="D19" s="58" t="s">
        <v>32</v>
      </c>
      <c r="E19" s="57">
        <v>45298</v>
      </c>
      <c r="F19" s="58">
        <v>29.99</v>
      </c>
      <c r="G19" s="58">
        <v>5</v>
      </c>
      <c r="H19" s="58">
        <f t="shared" si="0"/>
        <v>14.995</v>
      </c>
      <c r="I19" s="58">
        <f t="shared" si="1"/>
        <v>164.945</v>
      </c>
      <c r="K19" s="59"/>
    </row>
    <row r="20" s="35" customFormat="1" spans="2:11">
      <c r="B20" s="58" t="s">
        <v>33</v>
      </c>
      <c r="C20" s="57">
        <v>45297</v>
      </c>
      <c r="D20" s="58" t="s">
        <v>34</v>
      </c>
      <c r="E20" s="57">
        <v>45299</v>
      </c>
      <c r="F20" s="58">
        <v>79.99</v>
      </c>
      <c r="G20" s="58">
        <v>2</v>
      </c>
      <c r="H20" s="58">
        <f t="shared" si="0"/>
        <v>15.998</v>
      </c>
      <c r="I20" s="58">
        <f t="shared" si="1"/>
        <v>175.978</v>
      </c>
      <c r="K20" s="59"/>
    </row>
    <row r="21" s="35" customFormat="1" spans="2:11">
      <c r="B21" s="58" t="s">
        <v>35</v>
      </c>
      <c r="C21" s="57">
        <v>45298</v>
      </c>
      <c r="D21" s="58" t="s">
        <v>36</v>
      </c>
      <c r="E21" s="57">
        <v>45300</v>
      </c>
      <c r="F21" s="58">
        <v>49.99</v>
      </c>
      <c r="G21" s="58">
        <v>3</v>
      </c>
      <c r="H21" s="58">
        <f t="shared" si="0"/>
        <v>14.997</v>
      </c>
      <c r="I21" s="58">
        <f t="shared" si="1"/>
        <v>164.967</v>
      </c>
      <c r="K21" s="59"/>
    </row>
    <row r="22" s="35" customFormat="1" spans="2:11">
      <c r="B22" s="58" t="s">
        <v>37</v>
      </c>
      <c r="C22" s="57">
        <v>45298</v>
      </c>
      <c r="D22" s="58" t="s">
        <v>38</v>
      </c>
      <c r="E22" s="57">
        <v>45303</v>
      </c>
      <c r="F22" s="58">
        <v>129.99</v>
      </c>
      <c r="G22" s="58">
        <v>1</v>
      </c>
      <c r="H22" s="58">
        <f t="shared" si="0"/>
        <v>12.999</v>
      </c>
      <c r="I22" s="58">
        <f t="shared" si="1"/>
        <v>142.989</v>
      </c>
      <c r="K22" s="59"/>
    </row>
    <row r="23" s="35" customFormat="1" spans="2:11">
      <c r="B23" s="58" t="s">
        <v>39</v>
      </c>
      <c r="C23" s="57">
        <v>45299</v>
      </c>
      <c r="D23" s="58" t="s">
        <v>40</v>
      </c>
      <c r="E23" s="57">
        <v>45304</v>
      </c>
      <c r="F23" s="58">
        <v>19.99</v>
      </c>
      <c r="G23" s="58">
        <v>4</v>
      </c>
      <c r="H23" s="58">
        <f t="shared" si="0"/>
        <v>7.996</v>
      </c>
      <c r="I23" s="58">
        <f t="shared" si="1"/>
        <v>87.956</v>
      </c>
      <c r="K23" s="59"/>
    </row>
    <row r="24" s="35" customFormat="1" spans="2:11">
      <c r="B24" s="58" t="s">
        <v>41</v>
      </c>
      <c r="C24" s="57">
        <v>45299</v>
      </c>
      <c r="D24" s="58" t="s">
        <v>42</v>
      </c>
      <c r="E24" s="57">
        <v>45303</v>
      </c>
      <c r="F24" s="58">
        <v>149.99</v>
      </c>
      <c r="G24" s="58">
        <v>1</v>
      </c>
      <c r="H24" s="58">
        <f t="shared" si="0"/>
        <v>14.999</v>
      </c>
      <c r="I24" s="58">
        <f t="shared" si="1"/>
        <v>164.989</v>
      </c>
      <c r="K24" s="59"/>
    </row>
    <row r="25" s="35" customFormat="1" spans="2:11">
      <c r="B25" s="58" t="s">
        <v>43</v>
      </c>
      <c r="C25" s="57">
        <v>45300</v>
      </c>
      <c r="D25" s="58" t="s">
        <v>44</v>
      </c>
      <c r="E25" s="57">
        <v>45305</v>
      </c>
      <c r="F25" s="58">
        <v>69.99</v>
      </c>
      <c r="G25" s="58">
        <v>2</v>
      </c>
      <c r="H25" s="58">
        <f t="shared" si="0"/>
        <v>13.998</v>
      </c>
      <c r="I25" s="58">
        <f t="shared" si="1"/>
        <v>153.978</v>
      </c>
      <c r="K25" s="59"/>
    </row>
    <row r="26" s="35" customFormat="1" spans="2:11">
      <c r="B26" s="58" t="s">
        <v>45</v>
      </c>
      <c r="C26" s="57">
        <v>45300</v>
      </c>
      <c r="D26" s="58" t="s">
        <v>46</v>
      </c>
      <c r="E26" s="57">
        <v>45303</v>
      </c>
      <c r="F26" s="58">
        <v>39.99</v>
      </c>
      <c r="G26" s="58">
        <v>3</v>
      </c>
      <c r="H26" s="58">
        <f t="shared" si="0"/>
        <v>11.997</v>
      </c>
      <c r="I26" s="58">
        <f t="shared" si="1"/>
        <v>131.967</v>
      </c>
      <c r="K26" s="59"/>
    </row>
    <row r="27" s="35" customFormat="1" spans="2:11">
      <c r="B27" s="58" t="s">
        <v>47</v>
      </c>
      <c r="C27" s="57">
        <v>45301</v>
      </c>
      <c r="D27" s="58" t="s">
        <v>48</v>
      </c>
      <c r="E27" s="57">
        <v>45302</v>
      </c>
      <c r="F27" s="58">
        <v>199.99</v>
      </c>
      <c r="G27" s="58">
        <v>1</v>
      </c>
      <c r="H27" s="58">
        <f t="shared" si="0"/>
        <v>19.999</v>
      </c>
      <c r="I27" s="58">
        <f t="shared" si="1"/>
        <v>219.989</v>
      </c>
      <c r="K27" s="59"/>
    </row>
    <row r="28" s="35" customFormat="1" spans="2:11">
      <c r="B28" s="58" t="s">
        <v>49</v>
      </c>
      <c r="C28" s="57">
        <v>45301</v>
      </c>
      <c r="D28" s="58" t="s">
        <v>50</v>
      </c>
      <c r="E28" s="57">
        <v>45305</v>
      </c>
      <c r="F28" s="58">
        <v>29.99</v>
      </c>
      <c r="G28" s="58">
        <v>5</v>
      </c>
      <c r="H28" s="58">
        <f t="shared" si="0"/>
        <v>14.995</v>
      </c>
      <c r="I28" s="58">
        <f t="shared" si="1"/>
        <v>164.945</v>
      </c>
      <c r="K28" s="59"/>
    </row>
    <row r="29" s="35" customFormat="1" spans="2:11">
      <c r="B29" s="58" t="s">
        <v>51</v>
      </c>
      <c r="C29" s="57">
        <v>45302</v>
      </c>
      <c r="D29" s="58" t="s">
        <v>52</v>
      </c>
      <c r="E29" s="57">
        <v>45305</v>
      </c>
      <c r="F29" s="58">
        <v>79.99</v>
      </c>
      <c r="G29" s="58">
        <v>2</v>
      </c>
      <c r="H29" s="58">
        <f t="shared" si="0"/>
        <v>15.998</v>
      </c>
      <c r="I29" s="58">
        <f t="shared" si="1"/>
        <v>175.978</v>
      </c>
      <c r="K29" s="59"/>
    </row>
    <row r="30" s="35" customFormat="1" spans="2:11">
      <c r="B30" s="58" t="s">
        <v>53</v>
      </c>
      <c r="C30" s="57">
        <v>45302</v>
      </c>
      <c r="D30" s="58" t="s">
        <v>54</v>
      </c>
      <c r="E30" s="57">
        <v>45306</v>
      </c>
      <c r="F30" s="58">
        <v>49.99</v>
      </c>
      <c r="G30" s="58">
        <v>3</v>
      </c>
      <c r="H30" s="58">
        <f t="shared" si="0"/>
        <v>14.997</v>
      </c>
      <c r="I30" s="58">
        <f t="shared" si="1"/>
        <v>164.967</v>
      </c>
      <c r="K30" s="59"/>
    </row>
    <row r="31" s="35" customFormat="1" spans="2:11">
      <c r="B31" s="58" t="s">
        <v>55</v>
      </c>
      <c r="C31" s="57">
        <v>45303</v>
      </c>
      <c r="D31" s="58" t="s">
        <v>56</v>
      </c>
      <c r="E31" s="57">
        <v>45308</v>
      </c>
      <c r="F31" s="58">
        <v>129.99</v>
      </c>
      <c r="G31" s="58">
        <v>1</v>
      </c>
      <c r="H31" s="58">
        <f t="shared" si="0"/>
        <v>12.999</v>
      </c>
      <c r="I31" s="58">
        <f t="shared" si="1"/>
        <v>142.989</v>
      </c>
      <c r="K31" s="59"/>
    </row>
    <row r="32" s="35" customFormat="1" spans="2:11">
      <c r="B32" s="58" t="s">
        <v>57</v>
      </c>
      <c r="C32" s="57">
        <v>45303</v>
      </c>
      <c r="D32" s="58" t="s">
        <v>58</v>
      </c>
      <c r="E32" s="57">
        <v>45308</v>
      </c>
      <c r="F32" s="58">
        <v>19.99</v>
      </c>
      <c r="G32" s="58">
        <v>4</v>
      </c>
      <c r="H32" s="58">
        <f t="shared" si="0"/>
        <v>7.996</v>
      </c>
      <c r="I32" s="58">
        <f t="shared" si="1"/>
        <v>87.956</v>
      </c>
      <c r="K32" s="59"/>
    </row>
    <row r="33" s="35" customFormat="1" spans="2:11">
      <c r="B33" s="58" t="s">
        <v>59</v>
      </c>
      <c r="C33" s="57">
        <v>45304</v>
      </c>
      <c r="D33" s="58" t="s">
        <v>20</v>
      </c>
      <c r="E33" s="57">
        <v>45308</v>
      </c>
      <c r="F33" s="58">
        <v>149.99</v>
      </c>
      <c r="G33" s="58">
        <v>1</v>
      </c>
      <c r="H33" s="58">
        <f t="shared" si="0"/>
        <v>14.999</v>
      </c>
      <c r="I33" s="58">
        <f t="shared" si="1"/>
        <v>164.989</v>
      </c>
      <c r="K33" s="59"/>
    </row>
    <row r="34" s="35" customFormat="1" spans="2:11">
      <c r="B34" s="58" t="s">
        <v>60</v>
      </c>
      <c r="C34" s="57">
        <v>45304</v>
      </c>
      <c r="D34" s="58" t="s">
        <v>61</v>
      </c>
      <c r="E34" s="57">
        <v>45305</v>
      </c>
      <c r="F34" s="58">
        <v>69.99</v>
      </c>
      <c r="G34" s="58">
        <v>2</v>
      </c>
      <c r="H34" s="58">
        <f t="shared" si="0"/>
        <v>13.998</v>
      </c>
      <c r="I34" s="58">
        <f t="shared" si="1"/>
        <v>153.978</v>
      </c>
      <c r="K34" s="59"/>
    </row>
    <row r="35" s="35" customFormat="1" spans="2:11">
      <c r="B35" s="58" t="s">
        <v>62</v>
      </c>
      <c r="C35" s="57">
        <v>45305</v>
      </c>
      <c r="D35" s="58" t="s">
        <v>63</v>
      </c>
      <c r="E35" s="57">
        <v>45309</v>
      </c>
      <c r="F35" s="58">
        <v>39.99</v>
      </c>
      <c r="G35" s="58">
        <v>3</v>
      </c>
      <c r="H35" s="58">
        <f t="shared" si="0"/>
        <v>11.997</v>
      </c>
      <c r="I35" s="58">
        <f t="shared" si="1"/>
        <v>131.967</v>
      </c>
      <c r="K35" s="59"/>
    </row>
    <row r="36" s="35" customFormat="1" spans="2:11">
      <c r="B36" s="58" t="s">
        <v>64</v>
      </c>
      <c r="C36" s="57">
        <v>45305</v>
      </c>
      <c r="D36" s="58" t="s">
        <v>65</v>
      </c>
      <c r="E36" s="57">
        <v>45310</v>
      </c>
      <c r="F36" s="58">
        <v>199.99</v>
      </c>
      <c r="G36" s="58">
        <v>1</v>
      </c>
      <c r="H36" s="58">
        <f t="shared" si="0"/>
        <v>19.999</v>
      </c>
      <c r="I36" s="58">
        <f t="shared" si="1"/>
        <v>219.989</v>
      </c>
      <c r="K36" s="59"/>
    </row>
    <row r="37" s="35" customFormat="1" spans="2:11">
      <c r="B37" s="58" t="s">
        <v>66</v>
      </c>
      <c r="C37" s="57">
        <v>45306</v>
      </c>
      <c r="D37" s="58" t="s">
        <v>67</v>
      </c>
      <c r="E37" s="57">
        <v>45310</v>
      </c>
      <c r="F37" s="58">
        <v>29.99</v>
      </c>
      <c r="G37" s="58">
        <v>5</v>
      </c>
      <c r="H37" s="58">
        <f t="shared" si="0"/>
        <v>14.995</v>
      </c>
      <c r="I37" s="58">
        <f t="shared" si="1"/>
        <v>164.945</v>
      </c>
      <c r="K37" s="59"/>
    </row>
    <row r="38" s="35" customFormat="1" spans="2:11">
      <c r="B38" s="58" t="s">
        <v>68</v>
      </c>
      <c r="C38" s="57">
        <v>45306</v>
      </c>
      <c r="D38" s="58" t="s">
        <v>69</v>
      </c>
      <c r="E38" s="57">
        <v>45310</v>
      </c>
      <c r="F38" s="58">
        <v>79.99</v>
      </c>
      <c r="G38" s="58">
        <v>2</v>
      </c>
      <c r="H38" s="58">
        <f t="shared" si="0"/>
        <v>15.998</v>
      </c>
      <c r="I38" s="58">
        <f t="shared" si="1"/>
        <v>175.978</v>
      </c>
      <c r="K38" s="59"/>
    </row>
    <row r="39" s="35" customFormat="1" spans="2:11">
      <c r="B39" s="58" t="s">
        <v>70</v>
      </c>
      <c r="C39" s="57">
        <v>45307</v>
      </c>
      <c r="D39" s="58" t="s">
        <v>71</v>
      </c>
      <c r="E39" s="57">
        <v>45310</v>
      </c>
      <c r="F39" s="58">
        <v>49.99</v>
      </c>
      <c r="G39" s="58">
        <v>3</v>
      </c>
      <c r="H39" s="58">
        <f t="shared" si="0"/>
        <v>14.997</v>
      </c>
      <c r="I39" s="58">
        <f t="shared" si="1"/>
        <v>164.967</v>
      </c>
      <c r="K39" s="59"/>
    </row>
    <row r="40" s="35" customFormat="1" spans="2:11">
      <c r="B40" s="58" t="s">
        <v>72</v>
      </c>
      <c r="C40" s="57">
        <v>45307</v>
      </c>
      <c r="D40" s="58" t="s">
        <v>73</v>
      </c>
      <c r="E40" s="57">
        <v>45308</v>
      </c>
      <c r="F40" s="58">
        <v>129.99</v>
      </c>
      <c r="G40" s="58">
        <v>1</v>
      </c>
      <c r="H40" s="58">
        <f t="shared" si="0"/>
        <v>12.999</v>
      </c>
      <c r="I40" s="58">
        <f t="shared" si="1"/>
        <v>142.989</v>
      </c>
      <c r="K40" s="59"/>
    </row>
    <row r="41" s="35" customFormat="1" spans="2:11">
      <c r="B41" s="58" t="s">
        <v>74</v>
      </c>
      <c r="C41" s="57">
        <v>45308</v>
      </c>
      <c r="D41" s="58" t="s">
        <v>75</v>
      </c>
      <c r="E41" s="57">
        <v>45310</v>
      </c>
      <c r="F41" s="58">
        <v>19.99</v>
      </c>
      <c r="G41" s="58">
        <v>4</v>
      </c>
      <c r="H41" s="58">
        <f t="shared" si="0"/>
        <v>7.996</v>
      </c>
      <c r="I41" s="58">
        <f t="shared" si="1"/>
        <v>87.956</v>
      </c>
      <c r="K41" s="59"/>
    </row>
    <row r="42" s="35" customFormat="1" spans="2:11">
      <c r="B42" s="58" t="s">
        <v>76</v>
      </c>
      <c r="C42" s="57">
        <v>45308</v>
      </c>
      <c r="D42" s="58" t="s">
        <v>77</v>
      </c>
      <c r="E42" s="57">
        <v>45310</v>
      </c>
      <c r="F42" s="58">
        <v>149.99</v>
      </c>
      <c r="G42" s="58">
        <v>1</v>
      </c>
      <c r="H42" s="58">
        <f t="shared" si="0"/>
        <v>14.999</v>
      </c>
      <c r="I42" s="58">
        <f t="shared" si="1"/>
        <v>164.989</v>
      </c>
      <c r="K42" s="59"/>
    </row>
    <row r="43" s="35" customFormat="1" spans="2:11">
      <c r="B43" s="58" t="s">
        <v>78</v>
      </c>
      <c r="C43" s="57">
        <v>45309</v>
      </c>
      <c r="D43" s="58" t="s">
        <v>79</v>
      </c>
      <c r="E43" s="57">
        <v>45314</v>
      </c>
      <c r="F43" s="58">
        <v>69.99</v>
      </c>
      <c r="G43" s="58">
        <v>2</v>
      </c>
      <c r="H43" s="58">
        <f t="shared" si="0"/>
        <v>13.998</v>
      </c>
      <c r="I43" s="58">
        <f t="shared" si="1"/>
        <v>153.978</v>
      </c>
      <c r="K43" s="59"/>
    </row>
    <row r="44" s="35" customFormat="1" spans="2:11">
      <c r="B44" s="58" t="s">
        <v>80</v>
      </c>
      <c r="C44" s="57">
        <v>45309</v>
      </c>
      <c r="D44" s="58" t="s">
        <v>81</v>
      </c>
      <c r="E44" s="57">
        <v>45310</v>
      </c>
      <c r="F44" s="58">
        <v>39.99</v>
      </c>
      <c r="G44" s="58">
        <v>3</v>
      </c>
      <c r="H44" s="58">
        <f t="shared" si="0"/>
        <v>11.997</v>
      </c>
      <c r="I44" s="58">
        <f t="shared" si="1"/>
        <v>131.967</v>
      </c>
      <c r="K44" s="59"/>
    </row>
    <row r="45" s="35" customFormat="1" spans="2:11">
      <c r="B45" s="58" t="s">
        <v>82</v>
      </c>
      <c r="C45" s="57">
        <v>45310</v>
      </c>
      <c r="D45" s="58" t="s">
        <v>83</v>
      </c>
      <c r="E45" s="57">
        <v>45311</v>
      </c>
      <c r="F45" s="58">
        <v>199.99</v>
      </c>
      <c r="G45" s="58">
        <v>1</v>
      </c>
      <c r="H45" s="58">
        <f t="shared" si="0"/>
        <v>19.999</v>
      </c>
      <c r="I45" s="58">
        <f t="shared" si="1"/>
        <v>219.989</v>
      </c>
      <c r="K45" s="59"/>
    </row>
    <row r="46" s="35" customFormat="1" spans="2:11">
      <c r="B46" s="58" t="s">
        <v>84</v>
      </c>
      <c r="C46" s="57">
        <v>45310</v>
      </c>
      <c r="D46" s="58" t="s">
        <v>85</v>
      </c>
      <c r="E46" s="57">
        <v>45313</v>
      </c>
      <c r="F46" s="58">
        <v>29.99</v>
      </c>
      <c r="G46" s="58">
        <v>5</v>
      </c>
      <c r="H46" s="58">
        <f t="shared" si="0"/>
        <v>14.995</v>
      </c>
      <c r="I46" s="58">
        <f t="shared" si="1"/>
        <v>164.945</v>
      </c>
      <c r="K46" s="59"/>
    </row>
    <row r="47" s="35" customFormat="1" spans="2:11">
      <c r="B47" s="58" t="s">
        <v>86</v>
      </c>
      <c r="C47" s="57">
        <v>45311</v>
      </c>
      <c r="D47" s="58" t="s">
        <v>16</v>
      </c>
      <c r="E47" s="57">
        <v>45315</v>
      </c>
      <c r="F47" s="58">
        <v>79.99</v>
      </c>
      <c r="G47" s="58">
        <v>2</v>
      </c>
      <c r="H47" s="58">
        <f t="shared" si="0"/>
        <v>15.998</v>
      </c>
      <c r="I47" s="58">
        <f t="shared" si="1"/>
        <v>175.978</v>
      </c>
      <c r="K47" s="59"/>
    </row>
    <row r="48" s="35" customFormat="1" spans="2:11">
      <c r="B48" s="58" t="s">
        <v>87</v>
      </c>
      <c r="C48" s="57">
        <v>45311</v>
      </c>
      <c r="D48" s="58" t="s">
        <v>58</v>
      </c>
      <c r="E48" s="57">
        <v>45312</v>
      </c>
      <c r="F48" s="58">
        <v>49.99</v>
      </c>
      <c r="G48" s="58">
        <v>3</v>
      </c>
      <c r="H48" s="58">
        <f t="shared" si="0"/>
        <v>14.997</v>
      </c>
      <c r="I48" s="58">
        <f t="shared" si="1"/>
        <v>164.967</v>
      </c>
      <c r="K48" s="59"/>
    </row>
    <row r="49" s="35" customFormat="1" spans="2:11">
      <c r="B49" s="58" t="s">
        <v>88</v>
      </c>
      <c r="C49" s="57">
        <v>45312</v>
      </c>
      <c r="D49" s="58" t="s">
        <v>20</v>
      </c>
      <c r="E49" s="57">
        <v>45317</v>
      </c>
      <c r="F49" s="58">
        <v>129.99</v>
      </c>
      <c r="G49" s="58">
        <v>1</v>
      </c>
      <c r="H49" s="58">
        <f t="shared" si="0"/>
        <v>12.999</v>
      </c>
      <c r="I49" s="58">
        <f t="shared" si="1"/>
        <v>142.989</v>
      </c>
      <c r="K49" s="59"/>
    </row>
    <row r="50" s="35" customFormat="1" spans="2:11">
      <c r="B50" s="58" t="s">
        <v>89</v>
      </c>
      <c r="C50" s="57">
        <v>45312</v>
      </c>
      <c r="D50" s="58" t="s">
        <v>90</v>
      </c>
      <c r="E50" s="57">
        <v>45314</v>
      </c>
      <c r="F50" s="58">
        <v>19.99</v>
      </c>
      <c r="G50" s="58">
        <v>4</v>
      </c>
      <c r="H50" s="58">
        <f t="shared" si="0"/>
        <v>7.996</v>
      </c>
      <c r="I50" s="58">
        <f t="shared" si="1"/>
        <v>87.956</v>
      </c>
      <c r="K50" s="59"/>
    </row>
    <row r="51" s="35" customFormat="1" spans="2:11">
      <c r="B51" s="58" t="s">
        <v>91</v>
      </c>
      <c r="C51" s="57">
        <v>45313</v>
      </c>
      <c r="D51" s="58" t="s">
        <v>92</v>
      </c>
      <c r="E51" s="57">
        <v>45316</v>
      </c>
      <c r="F51" s="58">
        <v>149.99</v>
      </c>
      <c r="G51" s="58">
        <v>1</v>
      </c>
      <c r="H51" s="58">
        <f t="shared" si="0"/>
        <v>14.999</v>
      </c>
      <c r="I51" s="58">
        <f t="shared" si="1"/>
        <v>164.989</v>
      </c>
      <c r="K51" s="59"/>
    </row>
    <row r="52" s="35" customFormat="1" spans="2:11">
      <c r="B52" s="58" t="s">
        <v>93</v>
      </c>
      <c r="C52" s="57">
        <v>45313</v>
      </c>
      <c r="D52" s="58" t="s">
        <v>18</v>
      </c>
      <c r="E52" s="57">
        <v>45316</v>
      </c>
      <c r="F52" s="58">
        <v>69.99</v>
      </c>
      <c r="G52" s="58">
        <v>2</v>
      </c>
      <c r="H52" s="58">
        <f t="shared" si="0"/>
        <v>13.998</v>
      </c>
      <c r="I52" s="58">
        <f t="shared" si="1"/>
        <v>153.978</v>
      </c>
      <c r="K52" s="59"/>
    </row>
    <row r="53" s="35" customFormat="1" spans="2:11">
      <c r="B53" s="58" t="s">
        <v>94</v>
      </c>
      <c r="C53" s="57">
        <v>45314</v>
      </c>
      <c r="D53" s="58" t="s">
        <v>95</v>
      </c>
      <c r="E53" s="57">
        <v>45318</v>
      </c>
      <c r="F53" s="58">
        <v>39.99</v>
      </c>
      <c r="G53" s="58">
        <v>3</v>
      </c>
      <c r="H53" s="58">
        <f t="shared" si="0"/>
        <v>11.997</v>
      </c>
      <c r="I53" s="58">
        <f t="shared" si="1"/>
        <v>131.967</v>
      </c>
      <c r="K53" s="59"/>
    </row>
    <row r="54" s="35" customFormat="1" spans="2:11">
      <c r="B54" s="58" t="s">
        <v>96</v>
      </c>
      <c r="C54" s="57">
        <v>45314</v>
      </c>
      <c r="D54" s="58" t="s">
        <v>50</v>
      </c>
      <c r="E54" s="57">
        <v>45317</v>
      </c>
      <c r="F54" s="58">
        <v>199.99</v>
      </c>
      <c r="G54" s="58">
        <v>1</v>
      </c>
      <c r="H54" s="58">
        <f t="shared" si="0"/>
        <v>19.999</v>
      </c>
      <c r="I54" s="58">
        <f t="shared" si="1"/>
        <v>219.989</v>
      </c>
      <c r="K54" s="59"/>
    </row>
    <row r="55" s="35" customFormat="1" spans="2:11">
      <c r="B55" s="58" t="s">
        <v>97</v>
      </c>
      <c r="C55" s="57">
        <v>45315</v>
      </c>
      <c r="D55" s="58" t="s">
        <v>98</v>
      </c>
      <c r="E55" s="57">
        <v>45316</v>
      </c>
      <c r="F55" s="58">
        <v>29.99</v>
      </c>
      <c r="G55" s="58">
        <v>5</v>
      </c>
      <c r="H55" s="58">
        <f t="shared" si="0"/>
        <v>14.995</v>
      </c>
      <c r="I55" s="58">
        <f t="shared" si="1"/>
        <v>164.945</v>
      </c>
      <c r="K55" s="59"/>
    </row>
    <row r="56" s="35" customFormat="1" spans="2:11">
      <c r="B56" s="58" t="s">
        <v>99</v>
      </c>
      <c r="C56" s="57">
        <v>45315</v>
      </c>
      <c r="D56" s="58" t="s">
        <v>100</v>
      </c>
      <c r="E56" s="57">
        <v>45317</v>
      </c>
      <c r="F56" s="58">
        <v>79.99</v>
      </c>
      <c r="G56" s="58">
        <v>2</v>
      </c>
      <c r="H56" s="58">
        <f t="shared" si="0"/>
        <v>15.998</v>
      </c>
      <c r="I56" s="58">
        <f t="shared" si="1"/>
        <v>175.978</v>
      </c>
      <c r="K56" s="59"/>
    </row>
    <row r="57" s="35" customFormat="1" spans="2:11">
      <c r="B57" s="58" t="s">
        <v>101</v>
      </c>
      <c r="C57" s="57">
        <v>45316</v>
      </c>
      <c r="D57" s="58" t="s">
        <v>102</v>
      </c>
      <c r="E57" s="57">
        <v>45321</v>
      </c>
      <c r="F57" s="58">
        <v>49.99</v>
      </c>
      <c r="G57" s="58">
        <v>3</v>
      </c>
      <c r="H57" s="58">
        <f t="shared" si="0"/>
        <v>14.997</v>
      </c>
      <c r="I57" s="58">
        <f t="shared" si="1"/>
        <v>164.967</v>
      </c>
      <c r="K57" s="59"/>
    </row>
    <row r="58" s="35" customFormat="1" spans="2:11">
      <c r="B58" s="58" t="s">
        <v>103</v>
      </c>
      <c r="C58" s="57">
        <v>45316</v>
      </c>
      <c r="D58" s="58" t="s">
        <v>104</v>
      </c>
      <c r="E58" s="57">
        <v>45318</v>
      </c>
      <c r="F58" s="58">
        <v>129.99</v>
      </c>
      <c r="G58" s="58">
        <v>1</v>
      </c>
      <c r="H58" s="58">
        <f t="shared" si="0"/>
        <v>12.999</v>
      </c>
      <c r="I58" s="58">
        <f t="shared" si="1"/>
        <v>142.989</v>
      </c>
      <c r="K58" s="59"/>
    </row>
    <row r="59" s="35" customFormat="1" spans="2:11">
      <c r="B59" s="58" t="s">
        <v>105</v>
      </c>
      <c r="C59" s="57">
        <v>45317</v>
      </c>
      <c r="D59" s="58" t="s">
        <v>106</v>
      </c>
      <c r="E59" s="57">
        <v>45320</v>
      </c>
      <c r="F59" s="58">
        <v>19.99</v>
      </c>
      <c r="G59" s="58">
        <v>4</v>
      </c>
      <c r="H59" s="58">
        <f t="shared" si="0"/>
        <v>7.996</v>
      </c>
      <c r="I59" s="58">
        <f t="shared" si="1"/>
        <v>87.956</v>
      </c>
      <c r="K59" s="59"/>
    </row>
    <row r="60" s="35" customFormat="1" spans="2:11">
      <c r="B60" s="58" t="s">
        <v>107</v>
      </c>
      <c r="C60" s="57">
        <v>45317</v>
      </c>
      <c r="D60" s="58" t="s">
        <v>108</v>
      </c>
      <c r="E60" s="57">
        <v>45319</v>
      </c>
      <c r="F60" s="58">
        <v>149.99</v>
      </c>
      <c r="G60" s="58">
        <v>1</v>
      </c>
      <c r="H60" s="58">
        <f t="shared" si="0"/>
        <v>14.999</v>
      </c>
      <c r="I60" s="58">
        <f t="shared" si="1"/>
        <v>164.989</v>
      </c>
      <c r="K60" s="59"/>
    </row>
    <row r="61" s="35" customFormat="1" spans="2:11">
      <c r="B61" s="58" t="s">
        <v>109</v>
      </c>
      <c r="C61" s="57">
        <v>45318</v>
      </c>
      <c r="D61" s="58" t="s">
        <v>110</v>
      </c>
      <c r="E61" s="57">
        <v>45322</v>
      </c>
      <c r="F61" s="58">
        <v>69.99</v>
      </c>
      <c r="G61" s="58">
        <v>2</v>
      </c>
      <c r="H61" s="58">
        <f t="shared" si="0"/>
        <v>13.998</v>
      </c>
      <c r="I61" s="58">
        <f t="shared" si="1"/>
        <v>153.978</v>
      </c>
      <c r="K61" s="59"/>
    </row>
    <row r="62" s="35" customFormat="1" spans="2:11">
      <c r="B62" s="58" t="s">
        <v>111</v>
      </c>
      <c r="C62" s="57">
        <v>45318</v>
      </c>
      <c r="D62" s="58" t="s">
        <v>112</v>
      </c>
      <c r="E62" s="57">
        <v>45322</v>
      </c>
      <c r="F62" s="58">
        <v>39.99</v>
      </c>
      <c r="G62" s="58">
        <v>3</v>
      </c>
      <c r="H62" s="58">
        <f t="shared" si="0"/>
        <v>11.997</v>
      </c>
      <c r="I62" s="58">
        <f t="shared" si="1"/>
        <v>131.967</v>
      </c>
      <c r="K62" s="59"/>
    </row>
    <row r="63" s="35" customFormat="1" spans="2:11">
      <c r="B63" s="58" t="s">
        <v>113</v>
      </c>
      <c r="C63" s="57">
        <v>45319</v>
      </c>
      <c r="D63" s="58" t="s">
        <v>114</v>
      </c>
      <c r="E63" s="57">
        <v>45320</v>
      </c>
      <c r="F63" s="58">
        <v>199.99</v>
      </c>
      <c r="G63" s="58">
        <v>1</v>
      </c>
      <c r="H63" s="58">
        <f t="shared" si="0"/>
        <v>19.999</v>
      </c>
      <c r="I63" s="58">
        <f t="shared" si="1"/>
        <v>219.989</v>
      </c>
      <c r="K63" s="59"/>
    </row>
    <row r="64" s="35" customFormat="1" spans="2:11">
      <c r="B64" s="58" t="s">
        <v>115</v>
      </c>
      <c r="C64" s="57">
        <v>45319</v>
      </c>
      <c r="D64" s="58" t="s">
        <v>116</v>
      </c>
      <c r="E64" s="57">
        <v>45320</v>
      </c>
      <c r="F64" s="58">
        <v>29.99</v>
      </c>
      <c r="G64" s="58">
        <v>5</v>
      </c>
      <c r="H64" s="58">
        <f t="shared" si="0"/>
        <v>14.995</v>
      </c>
      <c r="I64" s="58">
        <f t="shared" si="1"/>
        <v>164.945</v>
      </c>
      <c r="K64" s="59"/>
    </row>
    <row r="65" s="35" customFormat="1" spans="2:11">
      <c r="B65" s="58" t="s">
        <v>117</v>
      </c>
      <c r="C65" s="57">
        <v>45320</v>
      </c>
      <c r="D65" s="58" t="s">
        <v>118</v>
      </c>
      <c r="E65" s="57">
        <v>45321</v>
      </c>
      <c r="F65" s="58">
        <v>79.99</v>
      </c>
      <c r="G65" s="58">
        <v>2</v>
      </c>
      <c r="H65" s="58">
        <f t="shared" si="0"/>
        <v>15.998</v>
      </c>
      <c r="I65" s="58">
        <f t="shared" si="1"/>
        <v>175.978</v>
      </c>
      <c r="K65" s="59"/>
    </row>
    <row r="66" s="35" customFormat="1" spans="2:11">
      <c r="B66" s="58" t="s">
        <v>119</v>
      </c>
      <c r="C66" s="57">
        <v>45320</v>
      </c>
      <c r="D66" s="58" t="s">
        <v>90</v>
      </c>
      <c r="E66" s="57">
        <v>45322</v>
      </c>
      <c r="F66" s="58">
        <v>49.99</v>
      </c>
      <c r="G66" s="58">
        <v>3</v>
      </c>
      <c r="H66" s="58">
        <f t="shared" si="0"/>
        <v>14.997</v>
      </c>
      <c r="I66" s="58">
        <f t="shared" si="1"/>
        <v>164.967</v>
      </c>
      <c r="K66" s="59"/>
    </row>
    <row r="67" s="35" customFormat="1" spans="2:11">
      <c r="B67" s="58" t="s">
        <v>120</v>
      </c>
      <c r="C67" s="57">
        <v>45321</v>
      </c>
      <c r="D67" s="58" t="s">
        <v>92</v>
      </c>
      <c r="E67" s="57">
        <v>45322</v>
      </c>
      <c r="F67" s="58">
        <v>129.99</v>
      </c>
      <c r="G67" s="58">
        <v>1</v>
      </c>
      <c r="H67" s="58">
        <f t="shared" si="0"/>
        <v>12.999</v>
      </c>
      <c r="I67" s="58">
        <f t="shared" si="1"/>
        <v>142.989</v>
      </c>
      <c r="K67" s="59"/>
    </row>
    <row r="68" s="35" customFormat="1" spans="2:11">
      <c r="B68" s="58" t="s">
        <v>121</v>
      </c>
      <c r="C68" s="57">
        <v>45321</v>
      </c>
      <c r="D68" s="58" t="s">
        <v>18</v>
      </c>
      <c r="E68" s="57">
        <v>45323</v>
      </c>
      <c r="F68" s="58">
        <v>19.99</v>
      </c>
      <c r="G68" s="58">
        <v>4</v>
      </c>
      <c r="H68" s="58">
        <f t="shared" si="0"/>
        <v>7.996</v>
      </c>
      <c r="I68" s="58">
        <f t="shared" si="1"/>
        <v>87.956</v>
      </c>
      <c r="K68" s="59"/>
    </row>
    <row r="69" s="35" customFormat="1" spans="2:11">
      <c r="B69" s="58" t="s">
        <v>122</v>
      </c>
      <c r="C69" s="57">
        <v>45322</v>
      </c>
      <c r="D69" s="58" t="s">
        <v>95</v>
      </c>
      <c r="E69" s="57">
        <v>45324</v>
      </c>
      <c r="F69" s="58">
        <v>149.99</v>
      </c>
      <c r="G69" s="58">
        <v>1</v>
      </c>
      <c r="H69" s="58">
        <f t="shared" si="0"/>
        <v>14.999</v>
      </c>
      <c r="I69" s="58">
        <f t="shared" si="1"/>
        <v>164.989</v>
      </c>
      <c r="K69" s="59"/>
    </row>
    <row r="70" s="35" customFormat="1" spans="2:11">
      <c r="B70" s="58" t="s">
        <v>123</v>
      </c>
      <c r="C70" s="57">
        <v>45322</v>
      </c>
      <c r="D70" s="58" t="s">
        <v>50</v>
      </c>
      <c r="E70" s="57">
        <v>45326</v>
      </c>
      <c r="F70" s="58">
        <v>69.99</v>
      </c>
      <c r="G70" s="58">
        <v>2</v>
      </c>
      <c r="H70" s="58">
        <f t="shared" si="0"/>
        <v>13.998</v>
      </c>
      <c r="I70" s="58">
        <f t="shared" si="1"/>
        <v>153.978</v>
      </c>
      <c r="K70" s="59"/>
    </row>
    <row r="71" s="35" customFormat="1" spans="2:11">
      <c r="B71" s="58" t="s">
        <v>124</v>
      </c>
      <c r="C71" s="57">
        <v>45323</v>
      </c>
      <c r="D71" s="58" t="s">
        <v>98</v>
      </c>
      <c r="E71" s="57">
        <v>45324</v>
      </c>
      <c r="F71" s="58">
        <v>39.99</v>
      </c>
      <c r="G71" s="58">
        <v>3</v>
      </c>
      <c r="H71" s="58">
        <f t="shared" si="0"/>
        <v>11.997</v>
      </c>
      <c r="I71" s="58">
        <f t="shared" si="1"/>
        <v>131.967</v>
      </c>
      <c r="K71" s="59"/>
    </row>
    <row r="72" s="35" customFormat="1" spans="2:11">
      <c r="B72" s="58" t="s">
        <v>125</v>
      </c>
      <c r="C72" s="57">
        <v>45323</v>
      </c>
      <c r="D72" s="58" t="s">
        <v>100</v>
      </c>
      <c r="E72" s="57">
        <v>45327</v>
      </c>
      <c r="F72" s="58">
        <v>199.99</v>
      </c>
      <c r="G72" s="58">
        <v>1</v>
      </c>
      <c r="H72" s="58">
        <f t="shared" si="0"/>
        <v>19.999</v>
      </c>
      <c r="I72" s="58">
        <f t="shared" si="1"/>
        <v>219.989</v>
      </c>
      <c r="K72" s="59"/>
    </row>
    <row r="73" s="35" customFormat="1" spans="2:11">
      <c r="B73" s="58" t="s">
        <v>126</v>
      </c>
      <c r="C73" s="57">
        <v>45323</v>
      </c>
      <c r="D73" s="58" t="s">
        <v>102</v>
      </c>
      <c r="E73" s="57">
        <v>45325</v>
      </c>
      <c r="F73" s="58">
        <v>29.99</v>
      </c>
      <c r="G73" s="58">
        <v>5</v>
      </c>
      <c r="H73" s="58">
        <f t="shared" si="0"/>
        <v>14.995</v>
      </c>
      <c r="I73" s="58">
        <f t="shared" si="1"/>
        <v>164.945</v>
      </c>
      <c r="K73" s="59"/>
    </row>
    <row r="74" s="35" customFormat="1" spans="2:11">
      <c r="B74" s="58" t="s">
        <v>127</v>
      </c>
      <c r="C74" s="57">
        <v>45324</v>
      </c>
      <c r="D74" s="58" t="s">
        <v>104</v>
      </c>
      <c r="E74" s="57">
        <v>45328</v>
      </c>
      <c r="F74" s="58">
        <v>79.99</v>
      </c>
      <c r="G74" s="58">
        <v>2</v>
      </c>
      <c r="H74" s="58">
        <f t="shared" ref="H74:H78" si="2">F74*G74*$I$6</f>
        <v>15.998</v>
      </c>
      <c r="I74" s="58">
        <f t="shared" ref="I74:I78" si="3">F74*G74+H74</f>
        <v>175.978</v>
      </c>
      <c r="K74" s="59"/>
    </row>
    <row r="75" s="35" customFormat="1" spans="2:11">
      <c r="B75" s="58" t="s">
        <v>128</v>
      </c>
      <c r="C75" s="57">
        <v>45325</v>
      </c>
      <c r="D75" s="58" t="s">
        <v>106</v>
      </c>
      <c r="E75" s="57">
        <v>45328</v>
      </c>
      <c r="F75" s="58">
        <v>49.99</v>
      </c>
      <c r="G75" s="58">
        <v>3</v>
      </c>
      <c r="H75" s="58">
        <f t="shared" si="2"/>
        <v>14.997</v>
      </c>
      <c r="I75" s="58">
        <f t="shared" si="3"/>
        <v>164.967</v>
      </c>
      <c r="K75" s="59"/>
    </row>
    <row r="76" s="35" customFormat="1" spans="2:11">
      <c r="B76" s="58" t="s">
        <v>129</v>
      </c>
      <c r="C76" s="57">
        <v>45326</v>
      </c>
      <c r="D76" s="58" t="s">
        <v>108</v>
      </c>
      <c r="E76" s="57">
        <v>45327</v>
      </c>
      <c r="F76" s="58">
        <v>129.99</v>
      </c>
      <c r="G76" s="58">
        <v>1</v>
      </c>
      <c r="H76" s="58">
        <f t="shared" si="2"/>
        <v>12.999</v>
      </c>
      <c r="I76" s="58">
        <f t="shared" si="3"/>
        <v>142.989</v>
      </c>
      <c r="K76" s="59"/>
    </row>
    <row r="77" s="35" customFormat="1" spans="2:11">
      <c r="B77" s="58" t="s">
        <v>130</v>
      </c>
      <c r="C77" s="57">
        <v>45326</v>
      </c>
      <c r="D77" s="58" t="s">
        <v>110</v>
      </c>
      <c r="E77" s="57">
        <v>45330</v>
      </c>
      <c r="F77" s="58">
        <v>19.99</v>
      </c>
      <c r="G77" s="58">
        <v>4</v>
      </c>
      <c r="H77" s="58">
        <f t="shared" si="2"/>
        <v>7.996</v>
      </c>
      <c r="I77" s="58">
        <f t="shared" si="3"/>
        <v>87.956</v>
      </c>
      <c r="K77" s="59"/>
    </row>
    <row r="78" s="35" customFormat="1" spans="2:11">
      <c r="B78" s="58" t="s">
        <v>131</v>
      </c>
      <c r="C78" s="57">
        <v>45326</v>
      </c>
      <c r="D78" s="58" t="s">
        <v>112</v>
      </c>
      <c r="E78" s="57">
        <v>45329</v>
      </c>
      <c r="F78" s="58">
        <v>149.99</v>
      </c>
      <c r="G78" s="58">
        <v>1</v>
      </c>
      <c r="H78" s="58">
        <f t="shared" si="2"/>
        <v>14.999</v>
      </c>
      <c r="I78" s="58">
        <f t="shared" si="3"/>
        <v>164.989</v>
      </c>
      <c r="K78" s="59"/>
    </row>
    <row r="79" s="35" customFormat="1" spans="2:11">
      <c r="C79" s="60"/>
    </row>
    <row r="80" s="35" customFormat="1" spans="2:11">
      <c r="C80" s="6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79"/>
  <sheetViews>
    <sheetView showGridLines="0" tabSelected="1" workbookViewId="0">
      <selection activeCell="F13" sqref="F13"/>
    </sheetView>
  </sheetViews>
  <sheetFormatPr defaultColWidth="9" defaultRowHeight="15"/>
  <cols>
    <col min="1" max="1" width="4.44166666666667" style="35" customWidth="1"/>
    <col min="2" max="2" width="10.1083333333333" style="35" customWidth="1"/>
    <col min="3" max="3" width="13.6666666666667" style="35" customWidth="1"/>
    <col min="4" max="4" width="19.4416666666667" style="35" customWidth="1"/>
    <col min="5" max="5" width="13.5583333333333" style="35" customWidth="1"/>
    <col min="6" max="6" width="19.5583333333333" style="35" customWidth="1"/>
    <col min="7" max="7" width="17.3333333333333" style="35" customWidth="1"/>
    <col min="8" max="8" width="11" style="35" customWidth="1"/>
    <col min="9" max="9" width="13.3333333333333" style="35" customWidth="1"/>
    <col min="10" max="10" width="19.75" style="35" customWidth="1"/>
    <col min="11" max="11" width="13.75" style="35" customWidth="1"/>
    <col min="12" max="16384" width="8.88333333333333" style="35"/>
  </cols>
  <sheetData>
    <row r="2" s="35" customFormat="1" ht="30" customHeight="1" spans="2:12">
      <c r="B2" s="36" t="s">
        <v>132</v>
      </c>
      <c r="C2" s="37"/>
      <c r="D2" s="37"/>
      <c r="E2" s="37"/>
      <c r="F2" s="37"/>
      <c r="G2" s="37"/>
      <c r="H2" s="37"/>
      <c r="I2" s="37"/>
      <c r="J2" s="37"/>
      <c r="K2" s="37"/>
      <c r="L2" s="37"/>
    </row>
    <row r="3" ht="9" customHeight="1" spans="2:12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5" s="35" customFormat="1" ht="15.75" spans="2:12">
      <c r="B5" s="35" t="s">
        <v>133</v>
      </c>
      <c r="C5" s="35" t="s">
        <v>134</v>
      </c>
      <c r="D5" s="35" t="s">
        <v>135</v>
      </c>
      <c r="E5" s="35" t="s">
        <v>136</v>
      </c>
      <c r="F5" s="35" t="s">
        <v>137</v>
      </c>
      <c r="G5" s="35" t="s">
        <v>138</v>
      </c>
      <c r="H5" s="38" t="s">
        <v>2</v>
      </c>
      <c r="I5" s="39" t="s">
        <v>139</v>
      </c>
      <c r="J5" s="35" t="s">
        <v>140</v>
      </c>
      <c r="K5" s="35" t="s">
        <v>141</v>
      </c>
      <c r="L5" s="35" t="s">
        <v>142</v>
      </c>
    </row>
    <row r="6" spans="2:12">
      <c r="J6" s="40"/>
      <c r="K6" s="41" t="s">
        <v>143</v>
      </c>
      <c r="L6" s="41" t="s">
        <v>144</v>
      </c>
    </row>
    <row r="7" s="35" customFormat="1" ht="15.75" spans="2:12">
      <c r="B7" s="42" t="s">
        <v>3</v>
      </c>
      <c r="C7" s="42" t="s">
        <v>4</v>
      </c>
      <c r="D7" s="42" t="s">
        <v>5</v>
      </c>
      <c r="E7" s="42" t="s">
        <v>6</v>
      </c>
      <c r="F7" s="42" t="s">
        <v>7</v>
      </c>
      <c r="G7" s="42" t="s">
        <v>8</v>
      </c>
      <c r="H7" s="42" t="s">
        <v>9</v>
      </c>
      <c r="I7" s="43" t="s">
        <v>10</v>
      </c>
      <c r="J7" s="44" t="s">
        <v>145</v>
      </c>
      <c r="K7" s="44" t="s">
        <v>146</v>
      </c>
      <c r="L7" s="44" t="s">
        <v>147</v>
      </c>
    </row>
    <row r="8" s="35" customFormat="1" spans="2:12">
      <c r="B8" s="45">
        <v>1001</v>
      </c>
      <c r="C8" s="46">
        <v>45292</v>
      </c>
      <c r="D8" s="47" t="s">
        <v>12</v>
      </c>
      <c r="E8" s="46">
        <v>45299</v>
      </c>
      <c r="F8" s="48">
        <v>49.99</v>
      </c>
      <c r="G8" s="47">
        <v>2</v>
      </c>
      <c r="H8" s="48">
        <f t="shared" ref="H8:H71" si="0">F8*G8*$I$5</f>
        <v>9.998</v>
      </c>
      <c r="I8" s="49">
        <v>109.98</v>
      </c>
      <c r="J8" s="50">
        <f t="shared" ref="J8:J71" si="1">F8*G8</f>
        <v>99.98</v>
      </c>
      <c r="K8" s="51">
        <f t="shared" ref="K8:K71" si="2">_xlfn.DAYS(E8,C8)</f>
        <v>7</v>
      </c>
      <c r="L8" s="51" t="str">
        <f t="shared" ref="L8:L71" si="3">TEXT(C8,"mmm")</f>
        <v>Jan</v>
      </c>
    </row>
    <row r="9" s="35" customFormat="1" spans="2:12">
      <c r="B9" s="45">
        <v>1002</v>
      </c>
      <c r="C9" s="46">
        <v>45323</v>
      </c>
      <c r="D9" s="47" t="s">
        <v>14</v>
      </c>
      <c r="E9" s="46">
        <v>45326</v>
      </c>
      <c r="F9" s="48">
        <v>29.99</v>
      </c>
      <c r="G9" s="47">
        <v>1</v>
      </c>
      <c r="H9" s="48">
        <f t="shared" si="0"/>
        <v>2.999</v>
      </c>
      <c r="I9" s="48">
        <f t="shared" ref="I9:I72" si="4">F9*G9+H9</f>
        <v>32.989</v>
      </c>
      <c r="J9" s="50">
        <f t="shared" si="1"/>
        <v>29.99</v>
      </c>
      <c r="K9" s="51">
        <f t="shared" si="2"/>
        <v>3</v>
      </c>
      <c r="L9" s="51" t="str">
        <f t="shared" si="3"/>
        <v>Feb</v>
      </c>
    </row>
    <row r="10" s="35" customFormat="1" spans="2:12">
      <c r="B10" s="45">
        <v>1003</v>
      </c>
      <c r="C10" s="46">
        <v>45353</v>
      </c>
      <c r="D10" s="47" t="s">
        <v>16</v>
      </c>
      <c r="E10" s="46">
        <v>45358</v>
      </c>
      <c r="F10" s="48">
        <v>99.99</v>
      </c>
      <c r="G10" s="47">
        <v>3</v>
      </c>
      <c r="H10" s="48">
        <f t="shared" si="0"/>
        <v>29.997</v>
      </c>
      <c r="I10" s="48">
        <f t="shared" si="4"/>
        <v>329.967</v>
      </c>
      <c r="J10" s="50">
        <f t="shared" si="1"/>
        <v>299.97</v>
      </c>
      <c r="K10" s="51">
        <f t="shared" si="2"/>
        <v>5</v>
      </c>
      <c r="L10" s="51" t="str">
        <f t="shared" si="3"/>
        <v>Mar</v>
      </c>
    </row>
    <row r="11" s="35" customFormat="1" spans="2:12">
      <c r="B11" s="45">
        <v>1004</v>
      </c>
      <c r="C11" s="46">
        <v>45293</v>
      </c>
      <c r="D11" s="47" t="s">
        <v>18</v>
      </c>
      <c r="E11" s="46">
        <v>45302</v>
      </c>
      <c r="F11" s="48">
        <v>19.99</v>
      </c>
      <c r="G11" s="47">
        <v>4</v>
      </c>
      <c r="H11" s="48">
        <f t="shared" si="0"/>
        <v>7.996</v>
      </c>
      <c r="I11" s="48">
        <f t="shared" si="4"/>
        <v>87.956</v>
      </c>
      <c r="J11" s="50">
        <f t="shared" si="1"/>
        <v>79.96</v>
      </c>
      <c r="K11" s="51">
        <f t="shared" si="2"/>
        <v>9</v>
      </c>
      <c r="L11" s="51" t="str">
        <f t="shared" si="3"/>
        <v>Jan</v>
      </c>
    </row>
    <row r="12" s="35" customFormat="1" spans="2:12">
      <c r="B12" s="45">
        <v>1005</v>
      </c>
      <c r="C12" s="46">
        <v>45325</v>
      </c>
      <c r="D12" s="47" t="s">
        <v>20</v>
      </c>
      <c r="E12" s="46">
        <v>45330</v>
      </c>
      <c r="F12" s="48">
        <v>149.99</v>
      </c>
      <c r="G12" s="47">
        <v>1</v>
      </c>
      <c r="H12" s="48">
        <f t="shared" si="0"/>
        <v>14.999</v>
      </c>
      <c r="I12" s="48">
        <f t="shared" si="4"/>
        <v>164.989</v>
      </c>
      <c r="J12" s="50">
        <f t="shared" si="1"/>
        <v>149.99</v>
      </c>
      <c r="K12" s="51">
        <f t="shared" si="2"/>
        <v>5</v>
      </c>
      <c r="L12" s="51" t="str">
        <f t="shared" si="3"/>
        <v>Feb</v>
      </c>
    </row>
    <row r="13" s="35" customFormat="1" spans="2:12">
      <c r="B13" s="45">
        <v>1006</v>
      </c>
      <c r="C13" s="46">
        <v>45354</v>
      </c>
      <c r="D13" s="47" t="s">
        <v>22</v>
      </c>
      <c r="E13" s="46">
        <v>45357</v>
      </c>
      <c r="F13" s="48">
        <v>79.99</v>
      </c>
      <c r="G13" s="47">
        <v>2</v>
      </c>
      <c r="H13" s="48">
        <f t="shared" si="0"/>
        <v>15.998</v>
      </c>
      <c r="I13" s="48">
        <f t="shared" si="4"/>
        <v>175.978</v>
      </c>
      <c r="J13" s="50">
        <f t="shared" si="1"/>
        <v>159.98</v>
      </c>
      <c r="K13" s="51">
        <f t="shared" si="2"/>
        <v>3</v>
      </c>
      <c r="L13" s="51" t="str">
        <f t="shared" si="3"/>
        <v>Mar</v>
      </c>
    </row>
    <row r="14" s="35" customFormat="1" spans="2:12">
      <c r="B14" s="45">
        <v>1007</v>
      </c>
      <c r="C14" s="46">
        <v>45295</v>
      </c>
      <c r="D14" s="47" t="s">
        <v>24</v>
      </c>
      <c r="E14" s="46">
        <v>45299</v>
      </c>
      <c r="F14" s="48">
        <v>39.99</v>
      </c>
      <c r="G14" s="47">
        <v>3</v>
      </c>
      <c r="H14" s="48">
        <f t="shared" si="0"/>
        <v>11.997</v>
      </c>
      <c r="I14" s="48">
        <f t="shared" si="4"/>
        <v>131.967</v>
      </c>
      <c r="J14" s="50">
        <f t="shared" si="1"/>
        <v>119.97</v>
      </c>
      <c r="K14" s="51">
        <f t="shared" si="2"/>
        <v>4</v>
      </c>
      <c r="L14" s="51" t="str">
        <f t="shared" si="3"/>
        <v>Jan</v>
      </c>
    </row>
    <row r="15" s="35" customFormat="1" spans="2:12">
      <c r="B15" s="45">
        <v>1008</v>
      </c>
      <c r="C15" s="46">
        <v>45386</v>
      </c>
      <c r="D15" s="47" t="s">
        <v>26</v>
      </c>
      <c r="E15" s="46">
        <v>45391</v>
      </c>
      <c r="F15" s="48">
        <v>69.99</v>
      </c>
      <c r="G15" s="47">
        <v>2</v>
      </c>
      <c r="H15" s="48">
        <f t="shared" si="0"/>
        <v>13.998</v>
      </c>
      <c r="I15" s="48">
        <f t="shared" si="4"/>
        <v>153.978</v>
      </c>
      <c r="J15" s="50">
        <f t="shared" si="1"/>
        <v>139.98</v>
      </c>
      <c r="K15" s="51">
        <f t="shared" si="2"/>
        <v>5</v>
      </c>
      <c r="L15" s="51" t="str">
        <f t="shared" si="3"/>
        <v>Apr</v>
      </c>
    </row>
    <row r="16" s="35" customFormat="1" spans="2:12">
      <c r="B16" s="45">
        <v>1009</v>
      </c>
      <c r="C16" s="46">
        <v>45417</v>
      </c>
      <c r="D16" s="47" t="s">
        <v>28</v>
      </c>
      <c r="E16" s="46">
        <v>45421</v>
      </c>
      <c r="F16" s="48">
        <v>89.99</v>
      </c>
      <c r="G16" s="47">
        <v>1</v>
      </c>
      <c r="H16" s="48">
        <f t="shared" si="0"/>
        <v>8.999</v>
      </c>
      <c r="I16" s="48">
        <f t="shared" si="4"/>
        <v>98.989</v>
      </c>
      <c r="J16" s="50">
        <f t="shared" si="1"/>
        <v>89.99</v>
      </c>
      <c r="K16" s="51">
        <f t="shared" si="2"/>
        <v>4</v>
      </c>
      <c r="L16" s="51" t="str">
        <f t="shared" si="3"/>
        <v>May</v>
      </c>
    </row>
    <row r="17" s="35" customFormat="1" spans="2:12">
      <c r="B17" s="45">
        <v>1010</v>
      </c>
      <c r="C17" s="46">
        <v>45296</v>
      </c>
      <c r="D17" s="47" t="s">
        <v>30</v>
      </c>
      <c r="E17" s="46">
        <v>45299</v>
      </c>
      <c r="F17" s="48">
        <v>199.99</v>
      </c>
      <c r="G17" s="47">
        <v>1</v>
      </c>
      <c r="H17" s="48">
        <f t="shared" si="0"/>
        <v>19.999</v>
      </c>
      <c r="I17" s="48">
        <f t="shared" si="4"/>
        <v>219.989</v>
      </c>
      <c r="J17" s="50">
        <f t="shared" si="1"/>
        <v>199.99</v>
      </c>
      <c r="K17" s="51">
        <f t="shared" si="2"/>
        <v>3</v>
      </c>
      <c r="L17" s="51" t="str">
        <f t="shared" si="3"/>
        <v>Jan</v>
      </c>
    </row>
    <row r="18" s="35" customFormat="1" spans="2:12">
      <c r="B18" s="45">
        <v>1011</v>
      </c>
      <c r="C18" s="46">
        <v>45571</v>
      </c>
      <c r="D18" s="47" t="s">
        <v>32</v>
      </c>
      <c r="E18" s="46">
        <v>45575</v>
      </c>
      <c r="F18" s="48">
        <v>29.99</v>
      </c>
      <c r="G18" s="47">
        <v>5</v>
      </c>
      <c r="H18" s="48">
        <f t="shared" si="0"/>
        <v>14.995</v>
      </c>
      <c r="I18" s="48">
        <f t="shared" si="4"/>
        <v>164.945</v>
      </c>
      <c r="J18" s="50">
        <f t="shared" si="1"/>
        <v>149.95</v>
      </c>
      <c r="K18" s="51">
        <f t="shared" si="2"/>
        <v>4</v>
      </c>
      <c r="L18" s="51" t="str">
        <f t="shared" si="3"/>
        <v>Oct</v>
      </c>
    </row>
    <row r="19" s="35" customFormat="1" spans="2:12">
      <c r="B19" s="45">
        <v>1012</v>
      </c>
      <c r="C19" s="46">
        <v>45602</v>
      </c>
      <c r="D19" s="47" t="s">
        <v>34</v>
      </c>
      <c r="E19" s="46">
        <v>45604</v>
      </c>
      <c r="F19" s="48">
        <v>79.99</v>
      </c>
      <c r="G19" s="47">
        <v>2</v>
      </c>
      <c r="H19" s="48">
        <f t="shared" si="0"/>
        <v>15.998</v>
      </c>
      <c r="I19" s="48">
        <f t="shared" si="4"/>
        <v>175.978</v>
      </c>
      <c r="J19" s="50">
        <f t="shared" si="1"/>
        <v>159.98</v>
      </c>
      <c r="K19" s="51">
        <f t="shared" si="2"/>
        <v>2</v>
      </c>
      <c r="L19" s="51" t="str">
        <f t="shared" si="3"/>
        <v>Nov</v>
      </c>
    </row>
    <row r="20" s="35" customFormat="1" spans="2:12">
      <c r="B20" s="45">
        <v>1013</v>
      </c>
      <c r="C20" s="46">
        <v>45298</v>
      </c>
      <c r="D20" s="47" t="s">
        <v>36</v>
      </c>
      <c r="E20" s="46">
        <v>45300</v>
      </c>
      <c r="F20" s="48">
        <v>49.99</v>
      </c>
      <c r="G20" s="47">
        <v>3</v>
      </c>
      <c r="H20" s="48">
        <f t="shared" si="0"/>
        <v>14.997</v>
      </c>
      <c r="I20" s="48">
        <f t="shared" si="4"/>
        <v>164.967</v>
      </c>
      <c r="J20" s="50">
        <f t="shared" si="1"/>
        <v>149.97</v>
      </c>
      <c r="K20" s="51">
        <f t="shared" si="2"/>
        <v>2</v>
      </c>
      <c r="L20" s="51" t="str">
        <f t="shared" si="3"/>
        <v>Jan</v>
      </c>
    </row>
    <row r="21" s="35" customFormat="1" spans="2:12">
      <c r="B21" s="45">
        <v>1014</v>
      </c>
      <c r="C21" s="46">
        <v>45298</v>
      </c>
      <c r="D21" s="47" t="s">
        <v>38</v>
      </c>
      <c r="E21" s="46">
        <v>45303</v>
      </c>
      <c r="F21" s="48">
        <v>129.99</v>
      </c>
      <c r="G21" s="47">
        <v>1</v>
      </c>
      <c r="H21" s="48">
        <f t="shared" si="0"/>
        <v>12.999</v>
      </c>
      <c r="I21" s="48">
        <f t="shared" si="4"/>
        <v>142.989</v>
      </c>
      <c r="J21" s="50">
        <f t="shared" si="1"/>
        <v>129.99</v>
      </c>
      <c r="K21" s="51">
        <f t="shared" si="2"/>
        <v>5</v>
      </c>
      <c r="L21" s="51" t="str">
        <f t="shared" si="3"/>
        <v>Jan</v>
      </c>
    </row>
    <row r="22" s="35" customFormat="1" spans="2:12">
      <c r="B22" s="45">
        <v>1015</v>
      </c>
      <c r="C22" s="46">
        <v>45299</v>
      </c>
      <c r="D22" s="47" t="s">
        <v>40</v>
      </c>
      <c r="E22" s="46">
        <v>45304</v>
      </c>
      <c r="F22" s="48">
        <v>19.99</v>
      </c>
      <c r="G22" s="47">
        <v>4</v>
      </c>
      <c r="H22" s="48">
        <f t="shared" si="0"/>
        <v>7.996</v>
      </c>
      <c r="I22" s="48">
        <f t="shared" si="4"/>
        <v>87.956</v>
      </c>
      <c r="J22" s="50">
        <f t="shared" si="1"/>
        <v>79.96</v>
      </c>
      <c r="K22" s="51">
        <f t="shared" si="2"/>
        <v>5</v>
      </c>
      <c r="L22" s="51" t="str">
        <f t="shared" si="3"/>
        <v>Jan</v>
      </c>
    </row>
    <row r="23" s="35" customFormat="1" spans="2:12">
      <c r="B23" s="45">
        <v>1016</v>
      </c>
      <c r="C23" s="46">
        <v>45299</v>
      </c>
      <c r="D23" s="47" t="s">
        <v>42</v>
      </c>
      <c r="E23" s="46">
        <v>45303</v>
      </c>
      <c r="F23" s="48">
        <v>149.99</v>
      </c>
      <c r="G23" s="47">
        <v>1</v>
      </c>
      <c r="H23" s="48">
        <f t="shared" si="0"/>
        <v>14.999</v>
      </c>
      <c r="I23" s="48">
        <f t="shared" si="4"/>
        <v>164.989</v>
      </c>
      <c r="J23" s="50">
        <f t="shared" si="1"/>
        <v>149.99</v>
      </c>
      <c r="K23" s="51">
        <f t="shared" si="2"/>
        <v>4</v>
      </c>
      <c r="L23" s="51" t="str">
        <f t="shared" si="3"/>
        <v>Jan</v>
      </c>
    </row>
    <row r="24" s="35" customFormat="1" spans="2:12">
      <c r="B24" s="45">
        <v>1017</v>
      </c>
      <c r="C24" s="46">
        <v>45300</v>
      </c>
      <c r="D24" s="47" t="s">
        <v>44</v>
      </c>
      <c r="E24" s="46">
        <v>45305</v>
      </c>
      <c r="F24" s="48">
        <v>69.99</v>
      </c>
      <c r="G24" s="47">
        <v>2</v>
      </c>
      <c r="H24" s="48">
        <f t="shared" si="0"/>
        <v>13.998</v>
      </c>
      <c r="I24" s="48">
        <f t="shared" si="4"/>
        <v>153.978</v>
      </c>
      <c r="J24" s="50">
        <f t="shared" si="1"/>
        <v>139.98</v>
      </c>
      <c r="K24" s="51">
        <f t="shared" si="2"/>
        <v>5</v>
      </c>
      <c r="L24" s="51" t="str">
        <f t="shared" si="3"/>
        <v>Jan</v>
      </c>
    </row>
    <row r="25" s="35" customFormat="1" spans="2:12">
      <c r="B25" s="45">
        <v>1018</v>
      </c>
      <c r="C25" s="46">
        <v>45300</v>
      </c>
      <c r="D25" s="47" t="s">
        <v>46</v>
      </c>
      <c r="E25" s="46">
        <v>45303</v>
      </c>
      <c r="F25" s="48">
        <v>39.99</v>
      </c>
      <c r="G25" s="47">
        <v>3</v>
      </c>
      <c r="H25" s="48">
        <f t="shared" si="0"/>
        <v>11.997</v>
      </c>
      <c r="I25" s="48">
        <f t="shared" si="4"/>
        <v>131.967</v>
      </c>
      <c r="J25" s="50">
        <f t="shared" si="1"/>
        <v>119.97</v>
      </c>
      <c r="K25" s="51">
        <f t="shared" si="2"/>
        <v>3</v>
      </c>
      <c r="L25" s="51" t="str">
        <f t="shared" si="3"/>
        <v>Jan</v>
      </c>
    </row>
    <row r="26" s="35" customFormat="1" spans="2:12">
      <c r="B26" s="45">
        <v>1019</v>
      </c>
      <c r="C26" s="46">
        <v>45301</v>
      </c>
      <c r="D26" s="47" t="s">
        <v>48</v>
      </c>
      <c r="E26" s="46">
        <v>45302</v>
      </c>
      <c r="F26" s="48">
        <v>199.99</v>
      </c>
      <c r="G26" s="47">
        <v>1</v>
      </c>
      <c r="H26" s="48">
        <f t="shared" si="0"/>
        <v>19.999</v>
      </c>
      <c r="I26" s="48">
        <f t="shared" si="4"/>
        <v>219.989</v>
      </c>
      <c r="J26" s="50">
        <f t="shared" si="1"/>
        <v>199.99</v>
      </c>
      <c r="K26" s="51">
        <f t="shared" si="2"/>
        <v>1</v>
      </c>
      <c r="L26" s="51" t="str">
        <f t="shared" si="3"/>
        <v>Jan</v>
      </c>
    </row>
    <row r="27" s="35" customFormat="1" spans="2:12">
      <c r="B27" s="45">
        <v>1020</v>
      </c>
      <c r="C27" s="46">
        <v>45301</v>
      </c>
      <c r="D27" s="47" t="s">
        <v>50</v>
      </c>
      <c r="E27" s="46">
        <v>45305</v>
      </c>
      <c r="F27" s="48">
        <v>29.99</v>
      </c>
      <c r="G27" s="47">
        <v>5</v>
      </c>
      <c r="H27" s="48">
        <f t="shared" si="0"/>
        <v>14.995</v>
      </c>
      <c r="I27" s="48">
        <f t="shared" si="4"/>
        <v>164.945</v>
      </c>
      <c r="J27" s="50">
        <f t="shared" si="1"/>
        <v>149.95</v>
      </c>
      <c r="K27" s="51">
        <f t="shared" si="2"/>
        <v>4</v>
      </c>
      <c r="L27" s="51" t="str">
        <f t="shared" si="3"/>
        <v>Jan</v>
      </c>
    </row>
    <row r="28" s="35" customFormat="1" spans="2:12">
      <c r="B28" s="45">
        <v>1021</v>
      </c>
      <c r="C28" s="46">
        <v>45302</v>
      </c>
      <c r="D28" s="47" t="s">
        <v>52</v>
      </c>
      <c r="E28" s="46">
        <v>45305</v>
      </c>
      <c r="F28" s="48">
        <v>79.99</v>
      </c>
      <c r="G28" s="47">
        <v>2</v>
      </c>
      <c r="H28" s="48">
        <f t="shared" si="0"/>
        <v>15.998</v>
      </c>
      <c r="I28" s="48">
        <f t="shared" si="4"/>
        <v>175.978</v>
      </c>
      <c r="J28" s="50">
        <f t="shared" si="1"/>
        <v>159.98</v>
      </c>
      <c r="K28" s="51">
        <f t="shared" si="2"/>
        <v>3</v>
      </c>
      <c r="L28" s="51" t="str">
        <f t="shared" si="3"/>
        <v>Jan</v>
      </c>
    </row>
    <row r="29" s="35" customFormat="1" spans="2:12">
      <c r="B29" s="45">
        <v>1022</v>
      </c>
      <c r="C29" s="46">
        <v>45302</v>
      </c>
      <c r="D29" s="47" t="s">
        <v>54</v>
      </c>
      <c r="E29" s="46">
        <v>45306</v>
      </c>
      <c r="F29" s="48">
        <v>49.99</v>
      </c>
      <c r="G29" s="47">
        <v>3</v>
      </c>
      <c r="H29" s="48">
        <f t="shared" si="0"/>
        <v>14.997</v>
      </c>
      <c r="I29" s="48">
        <f t="shared" si="4"/>
        <v>164.967</v>
      </c>
      <c r="J29" s="50">
        <f t="shared" si="1"/>
        <v>149.97</v>
      </c>
      <c r="K29" s="51">
        <f t="shared" si="2"/>
        <v>4</v>
      </c>
      <c r="L29" s="51" t="str">
        <f t="shared" si="3"/>
        <v>Jan</v>
      </c>
    </row>
    <row r="30" s="35" customFormat="1" spans="2:12">
      <c r="B30" s="45">
        <v>1023</v>
      </c>
      <c r="C30" s="46">
        <v>45303</v>
      </c>
      <c r="D30" s="47" t="s">
        <v>56</v>
      </c>
      <c r="E30" s="46">
        <v>45308</v>
      </c>
      <c r="F30" s="48">
        <v>129.99</v>
      </c>
      <c r="G30" s="47">
        <v>1</v>
      </c>
      <c r="H30" s="48">
        <f t="shared" si="0"/>
        <v>12.999</v>
      </c>
      <c r="I30" s="48">
        <f t="shared" si="4"/>
        <v>142.989</v>
      </c>
      <c r="J30" s="50">
        <f t="shared" si="1"/>
        <v>129.99</v>
      </c>
      <c r="K30" s="51">
        <f t="shared" si="2"/>
        <v>5</v>
      </c>
      <c r="L30" s="51" t="str">
        <f t="shared" si="3"/>
        <v>Jan</v>
      </c>
    </row>
    <row r="31" s="35" customFormat="1" spans="2:12">
      <c r="B31" s="45">
        <v>1024</v>
      </c>
      <c r="C31" s="46">
        <v>45303</v>
      </c>
      <c r="D31" s="47" t="s">
        <v>58</v>
      </c>
      <c r="E31" s="46">
        <v>45308</v>
      </c>
      <c r="F31" s="48">
        <v>19.99</v>
      </c>
      <c r="G31" s="47">
        <v>4</v>
      </c>
      <c r="H31" s="48">
        <f t="shared" si="0"/>
        <v>7.996</v>
      </c>
      <c r="I31" s="48">
        <f t="shared" si="4"/>
        <v>87.956</v>
      </c>
      <c r="J31" s="50">
        <f t="shared" si="1"/>
        <v>79.96</v>
      </c>
      <c r="K31" s="51">
        <f t="shared" si="2"/>
        <v>5</v>
      </c>
      <c r="L31" s="51" t="str">
        <f t="shared" si="3"/>
        <v>Jan</v>
      </c>
    </row>
    <row r="32" s="35" customFormat="1" spans="2:12">
      <c r="B32" s="45">
        <v>1025</v>
      </c>
      <c r="C32" s="46">
        <v>45304</v>
      </c>
      <c r="D32" s="47" t="s">
        <v>20</v>
      </c>
      <c r="E32" s="46">
        <v>45308</v>
      </c>
      <c r="F32" s="48">
        <v>149.99</v>
      </c>
      <c r="G32" s="47">
        <v>1</v>
      </c>
      <c r="H32" s="48">
        <f t="shared" si="0"/>
        <v>14.999</v>
      </c>
      <c r="I32" s="48">
        <f t="shared" si="4"/>
        <v>164.989</v>
      </c>
      <c r="J32" s="50">
        <f t="shared" si="1"/>
        <v>149.99</v>
      </c>
      <c r="K32" s="51">
        <f t="shared" si="2"/>
        <v>4</v>
      </c>
      <c r="L32" s="51" t="str">
        <f t="shared" si="3"/>
        <v>Jan</v>
      </c>
    </row>
    <row r="33" s="35" customFormat="1" spans="2:12">
      <c r="B33" s="45">
        <v>1026</v>
      </c>
      <c r="C33" s="46">
        <v>45304</v>
      </c>
      <c r="D33" s="47" t="s">
        <v>61</v>
      </c>
      <c r="E33" s="46">
        <v>45305</v>
      </c>
      <c r="F33" s="48">
        <v>69.99</v>
      </c>
      <c r="G33" s="47">
        <v>2</v>
      </c>
      <c r="H33" s="48">
        <f t="shared" si="0"/>
        <v>13.998</v>
      </c>
      <c r="I33" s="48">
        <f t="shared" si="4"/>
        <v>153.978</v>
      </c>
      <c r="J33" s="50">
        <f t="shared" si="1"/>
        <v>139.98</v>
      </c>
      <c r="K33" s="51">
        <f t="shared" si="2"/>
        <v>1</v>
      </c>
      <c r="L33" s="51" t="str">
        <f t="shared" si="3"/>
        <v>Jan</v>
      </c>
    </row>
    <row r="34" s="35" customFormat="1" spans="2:12">
      <c r="B34" s="45">
        <v>1027</v>
      </c>
      <c r="C34" s="46">
        <v>45305</v>
      </c>
      <c r="D34" s="47" t="s">
        <v>63</v>
      </c>
      <c r="E34" s="46">
        <v>45309</v>
      </c>
      <c r="F34" s="48">
        <v>39.99</v>
      </c>
      <c r="G34" s="47">
        <v>3</v>
      </c>
      <c r="H34" s="48">
        <f t="shared" si="0"/>
        <v>11.997</v>
      </c>
      <c r="I34" s="48">
        <f t="shared" si="4"/>
        <v>131.967</v>
      </c>
      <c r="J34" s="50">
        <f t="shared" si="1"/>
        <v>119.97</v>
      </c>
      <c r="K34" s="51">
        <f t="shared" si="2"/>
        <v>4</v>
      </c>
      <c r="L34" s="51" t="str">
        <f t="shared" si="3"/>
        <v>Jan</v>
      </c>
    </row>
    <row r="35" s="35" customFormat="1" spans="2:12">
      <c r="B35" s="45">
        <v>1028</v>
      </c>
      <c r="C35" s="46">
        <v>45305</v>
      </c>
      <c r="D35" s="47" t="s">
        <v>65</v>
      </c>
      <c r="E35" s="46">
        <v>45310</v>
      </c>
      <c r="F35" s="48">
        <v>199.99</v>
      </c>
      <c r="G35" s="47">
        <v>1</v>
      </c>
      <c r="H35" s="48">
        <f t="shared" si="0"/>
        <v>19.999</v>
      </c>
      <c r="I35" s="48">
        <f t="shared" si="4"/>
        <v>219.989</v>
      </c>
      <c r="J35" s="50">
        <f t="shared" si="1"/>
        <v>199.99</v>
      </c>
      <c r="K35" s="51">
        <f t="shared" si="2"/>
        <v>5</v>
      </c>
      <c r="L35" s="51" t="str">
        <f t="shared" si="3"/>
        <v>Jan</v>
      </c>
    </row>
    <row r="36" s="35" customFormat="1" spans="2:12">
      <c r="B36" s="45">
        <v>1029</v>
      </c>
      <c r="C36" s="46">
        <v>45306</v>
      </c>
      <c r="D36" s="47" t="s">
        <v>67</v>
      </c>
      <c r="E36" s="46">
        <v>45310</v>
      </c>
      <c r="F36" s="48">
        <v>29.99</v>
      </c>
      <c r="G36" s="47">
        <v>5</v>
      </c>
      <c r="H36" s="48">
        <f t="shared" si="0"/>
        <v>14.995</v>
      </c>
      <c r="I36" s="48">
        <f t="shared" si="4"/>
        <v>164.945</v>
      </c>
      <c r="J36" s="50">
        <f t="shared" si="1"/>
        <v>149.95</v>
      </c>
      <c r="K36" s="51">
        <f t="shared" si="2"/>
        <v>4</v>
      </c>
      <c r="L36" s="51" t="str">
        <f t="shared" si="3"/>
        <v>Jan</v>
      </c>
    </row>
    <row r="37" s="35" customFormat="1" spans="2:12">
      <c r="B37" s="45">
        <v>1030</v>
      </c>
      <c r="C37" s="46">
        <v>45306</v>
      </c>
      <c r="D37" s="47" t="s">
        <v>69</v>
      </c>
      <c r="E37" s="46">
        <v>45310</v>
      </c>
      <c r="F37" s="48">
        <v>79.99</v>
      </c>
      <c r="G37" s="47">
        <v>2</v>
      </c>
      <c r="H37" s="48">
        <f t="shared" si="0"/>
        <v>15.998</v>
      </c>
      <c r="I37" s="48">
        <f t="shared" si="4"/>
        <v>175.978</v>
      </c>
      <c r="J37" s="50">
        <f t="shared" si="1"/>
        <v>159.98</v>
      </c>
      <c r="K37" s="51">
        <f t="shared" si="2"/>
        <v>4</v>
      </c>
      <c r="L37" s="51" t="str">
        <f t="shared" si="3"/>
        <v>Jan</v>
      </c>
    </row>
    <row r="38" s="35" customFormat="1" spans="2:12">
      <c r="B38" s="45">
        <v>1031</v>
      </c>
      <c r="C38" s="46">
        <v>45307</v>
      </c>
      <c r="D38" s="47" t="s">
        <v>71</v>
      </c>
      <c r="E38" s="46">
        <v>45310</v>
      </c>
      <c r="F38" s="48">
        <v>49.99</v>
      </c>
      <c r="G38" s="47">
        <v>3</v>
      </c>
      <c r="H38" s="48">
        <f t="shared" si="0"/>
        <v>14.997</v>
      </c>
      <c r="I38" s="48">
        <f t="shared" si="4"/>
        <v>164.967</v>
      </c>
      <c r="J38" s="50">
        <f t="shared" si="1"/>
        <v>149.97</v>
      </c>
      <c r="K38" s="51">
        <f t="shared" si="2"/>
        <v>3</v>
      </c>
      <c r="L38" s="51" t="str">
        <f t="shared" si="3"/>
        <v>Jan</v>
      </c>
    </row>
    <row r="39" s="35" customFormat="1" spans="2:12">
      <c r="B39" s="45">
        <v>1032</v>
      </c>
      <c r="C39" s="46">
        <v>45307</v>
      </c>
      <c r="D39" s="47" t="s">
        <v>73</v>
      </c>
      <c r="E39" s="46">
        <v>45308</v>
      </c>
      <c r="F39" s="48">
        <v>129.99</v>
      </c>
      <c r="G39" s="47">
        <v>1</v>
      </c>
      <c r="H39" s="48">
        <f t="shared" si="0"/>
        <v>12.999</v>
      </c>
      <c r="I39" s="48">
        <f t="shared" si="4"/>
        <v>142.989</v>
      </c>
      <c r="J39" s="50">
        <f t="shared" si="1"/>
        <v>129.99</v>
      </c>
      <c r="K39" s="51">
        <f t="shared" si="2"/>
        <v>1</v>
      </c>
      <c r="L39" s="51" t="str">
        <f t="shared" si="3"/>
        <v>Jan</v>
      </c>
    </row>
    <row r="40" s="35" customFormat="1" spans="2:12">
      <c r="B40" s="45">
        <v>1033</v>
      </c>
      <c r="C40" s="46">
        <v>45308</v>
      </c>
      <c r="D40" s="47" t="s">
        <v>75</v>
      </c>
      <c r="E40" s="46">
        <v>45310</v>
      </c>
      <c r="F40" s="48">
        <v>19.99</v>
      </c>
      <c r="G40" s="47">
        <v>4</v>
      </c>
      <c r="H40" s="48">
        <f t="shared" si="0"/>
        <v>7.996</v>
      </c>
      <c r="I40" s="48">
        <f t="shared" si="4"/>
        <v>87.956</v>
      </c>
      <c r="J40" s="50">
        <f t="shared" si="1"/>
        <v>79.96</v>
      </c>
      <c r="K40" s="51">
        <f t="shared" si="2"/>
        <v>2</v>
      </c>
      <c r="L40" s="51" t="str">
        <f t="shared" si="3"/>
        <v>Jan</v>
      </c>
    </row>
    <row r="41" s="35" customFormat="1" spans="2:12">
      <c r="B41" s="45">
        <v>1034</v>
      </c>
      <c r="C41" s="46">
        <v>45308</v>
      </c>
      <c r="D41" s="47" t="s">
        <v>77</v>
      </c>
      <c r="E41" s="46">
        <v>45310</v>
      </c>
      <c r="F41" s="48">
        <v>149.99</v>
      </c>
      <c r="G41" s="47">
        <v>1</v>
      </c>
      <c r="H41" s="48">
        <f t="shared" si="0"/>
        <v>14.999</v>
      </c>
      <c r="I41" s="48">
        <f t="shared" si="4"/>
        <v>164.989</v>
      </c>
      <c r="J41" s="50">
        <f t="shared" si="1"/>
        <v>149.99</v>
      </c>
      <c r="K41" s="51">
        <f t="shared" si="2"/>
        <v>2</v>
      </c>
      <c r="L41" s="51" t="str">
        <f t="shared" si="3"/>
        <v>Jan</v>
      </c>
    </row>
    <row r="42" s="35" customFormat="1" spans="2:12">
      <c r="B42" s="45">
        <v>1035</v>
      </c>
      <c r="C42" s="46">
        <v>45309</v>
      </c>
      <c r="D42" s="47" t="s">
        <v>79</v>
      </c>
      <c r="E42" s="46">
        <v>45314</v>
      </c>
      <c r="F42" s="48">
        <v>69.99</v>
      </c>
      <c r="G42" s="47">
        <v>2</v>
      </c>
      <c r="H42" s="48">
        <f t="shared" si="0"/>
        <v>13.998</v>
      </c>
      <c r="I42" s="48">
        <f t="shared" si="4"/>
        <v>153.978</v>
      </c>
      <c r="J42" s="50">
        <f t="shared" si="1"/>
        <v>139.98</v>
      </c>
      <c r="K42" s="51">
        <f t="shared" si="2"/>
        <v>5</v>
      </c>
      <c r="L42" s="51" t="str">
        <f t="shared" si="3"/>
        <v>Jan</v>
      </c>
    </row>
    <row r="43" s="35" customFormat="1" spans="2:12">
      <c r="B43" s="45">
        <v>1036</v>
      </c>
      <c r="C43" s="46">
        <v>45309</v>
      </c>
      <c r="D43" s="47" t="s">
        <v>81</v>
      </c>
      <c r="E43" s="46">
        <v>45310</v>
      </c>
      <c r="F43" s="48">
        <v>39.99</v>
      </c>
      <c r="G43" s="47">
        <v>3</v>
      </c>
      <c r="H43" s="48">
        <f t="shared" si="0"/>
        <v>11.997</v>
      </c>
      <c r="I43" s="48">
        <f t="shared" si="4"/>
        <v>131.967</v>
      </c>
      <c r="J43" s="50">
        <f t="shared" si="1"/>
        <v>119.97</v>
      </c>
      <c r="K43" s="51">
        <f t="shared" si="2"/>
        <v>1</v>
      </c>
      <c r="L43" s="51" t="str">
        <f t="shared" si="3"/>
        <v>Jan</v>
      </c>
    </row>
    <row r="44" s="35" customFormat="1" spans="2:12">
      <c r="B44" s="45">
        <v>1037</v>
      </c>
      <c r="C44" s="46">
        <v>45310</v>
      </c>
      <c r="D44" s="47" t="s">
        <v>83</v>
      </c>
      <c r="E44" s="46">
        <v>45311</v>
      </c>
      <c r="F44" s="48">
        <v>199.99</v>
      </c>
      <c r="G44" s="47">
        <v>1</v>
      </c>
      <c r="H44" s="48">
        <f t="shared" si="0"/>
        <v>19.999</v>
      </c>
      <c r="I44" s="48">
        <f t="shared" si="4"/>
        <v>219.989</v>
      </c>
      <c r="J44" s="50">
        <f t="shared" si="1"/>
        <v>199.99</v>
      </c>
      <c r="K44" s="51">
        <f t="shared" si="2"/>
        <v>1</v>
      </c>
      <c r="L44" s="51" t="str">
        <f t="shared" si="3"/>
        <v>Jan</v>
      </c>
    </row>
    <row r="45" s="35" customFormat="1" spans="2:12">
      <c r="B45" s="45">
        <v>1038</v>
      </c>
      <c r="C45" s="46">
        <v>45310</v>
      </c>
      <c r="D45" s="47" t="s">
        <v>85</v>
      </c>
      <c r="E45" s="46">
        <v>45313</v>
      </c>
      <c r="F45" s="48">
        <v>29.99</v>
      </c>
      <c r="G45" s="47">
        <v>5</v>
      </c>
      <c r="H45" s="48">
        <f t="shared" si="0"/>
        <v>14.995</v>
      </c>
      <c r="I45" s="48">
        <f t="shared" si="4"/>
        <v>164.945</v>
      </c>
      <c r="J45" s="50">
        <f t="shared" si="1"/>
        <v>149.95</v>
      </c>
      <c r="K45" s="51">
        <f t="shared" si="2"/>
        <v>3</v>
      </c>
      <c r="L45" s="51" t="str">
        <f t="shared" si="3"/>
        <v>Jan</v>
      </c>
    </row>
    <row r="46" s="35" customFormat="1" spans="2:12">
      <c r="B46" s="45">
        <v>1039</v>
      </c>
      <c r="C46" s="46">
        <v>45311</v>
      </c>
      <c r="D46" s="47" t="s">
        <v>16</v>
      </c>
      <c r="E46" s="46">
        <v>45315</v>
      </c>
      <c r="F46" s="48">
        <v>79.99</v>
      </c>
      <c r="G46" s="47">
        <v>2</v>
      </c>
      <c r="H46" s="48">
        <f t="shared" si="0"/>
        <v>15.998</v>
      </c>
      <c r="I46" s="48">
        <f t="shared" si="4"/>
        <v>175.978</v>
      </c>
      <c r="J46" s="50">
        <f t="shared" si="1"/>
        <v>159.98</v>
      </c>
      <c r="K46" s="51">
        <f t="shared" si="2"/>
        <v>4</v>
      </c>
      <c r="L46" s="51" t="str">
        <f t="shared" si="3"/>
        <v>Jan</v>
      </c>
    </row>
    <row r="47" s="35" customFormat="1" spans="2:12">
      <c r="B47" s="45">
        <v>1040</v>
      </c>
      <c r="C47" s="46">
        <v>45311</v>
      </c>
      <c r="D47" s="47" t="s">
        <v>58</v>
      </c>
      <c r="E47" s="46">
        <v>45312</v>
      </c>
      <c r="F47" s="48">
        <v>49.99</v>
      </c>
      <c r="G47" s="47">
        <v>3</v>
      </c>
      <c r="H47" s="48">
        <f t="shared" si="0"/>
        <v>14.997</v>
      </c>
      <c r="I47" s="48">
        <f t="shared" si="4"/>
        <v>164.967</v>
      </c>
      <c r="J47" s="50">
        <f t="shared" si="1"/>
        <v>149.97</v>
      </c>
      <c r="K47" s="51">
        <f t="shared" si="2"/>
        <v>1</v>
      </c>
      <c r="L47" s="51" t="str">
        <f t="shared" si="3"/>
        <v>Jan</v>
      </c>
    </row>
    <row r="48" s="35" customFormat="1" spans="2:12">
      <c r="B48" s="45">
        <v>1041</v>
      </c>
      <c r="C48" s="46">
        <v>45312</v>
      </c>
      <c r="D48" s="47" t="s">
        <v>20</v>
      </c>
      <c r="E48" s="46">
        <v>45317</v>
      </c>
      <c r="F48" s="48">
        <v>129.99</v>
      </c>
      <c r="G48" s="47">
        <v>1</v>
      </c>
      <c r="H48" s="48">
        <f t="shared" si="0"/>
        <v>12.999</v>
      </c>
      <c r="I48" s="48">
        <f t="shared" si="4"/>
        <v>142.989</v>
      </c>
      <c r="J48" s="50">
        <f t="shared" si="1"/>
        <v>129.99</v>
      </c>
      <c r="K48" s="51">
        <f t="shared" si="2"/>
        <v>5</v>
      </c>
      <c r="L48" s="51" t="str">
        <f t="shared" si="3"/>
        <v>Jan</v>
      </c>
    </row>
    <row r="49" s="35" customFormat="1" spans="2:12">
      <c r="B49" s="45">
        <v>1042</v>
      </c>
      <c r="C49" s="46">
        <v>45312</v>
      </c>
      <c r="D49" s="47" t="s">
        <v>90</v>
      </c>
      <c r="E49" s="46">
        <v>45314</v>
      </c>
      <c r="F49" s="48">
        <v>19.99</v>
      </c>
      <c r="G49" s="47">
        <v>4</v>
      </c>
      <c r="H49" s="48">
        <f t="shared" si="0"/>
        <v>7.996</v>
      </c>
      <c r="I49" s="48">
        <f t="shared" si="4"/>
        <v>87.956</v>
      </c>
      <c r="J49" s="50">
        <f t="shared" si="1"/>
        <v>79.96</v>
      </c>
      <c r="K49" s="51">
        <f t="shared" si="2"/>
        <v>2</v>
      </c>
      <c r="L49" s="51" t="str">
        <f t="shared" si="3"/>
        <v>Jan</v>
      </c>
    </row>
    <row r="50" s="35" customFormat="1" spans="2:12">
      <c r="B50" s="45">
        <v>1043</v>
      </c>
      <c r="C50" s="46">
        <v>45313</v>
      </c>
      <c r="D50" s="47" t="s">
        <v>92</v>
      </c>
      <c r="E50" s="46">
        <v>45316</v>
      </c>
      <c r="F50" s="48">
        <v>149.99</v>
      </c>
      <c r="G50" s="47">
        <v>1</v>
      </c>
      <c r="H50" s="48">
        <f t="shared" si="0"/>
        <v>14.999</v>
      </c>
      <c r="I50" s="48">
        <f t="shared" si="4"/>
        <v>164.989</v>
      </c>
      <c r="J50" s="50">
        <f t="shared" si="1"/>
        <v>149.99</v>
      </c>
      <c r="K50" s="51">
        <f t="shared" si="2"/>
        <v>3</v>
      </c>
      <c r="L50" s="51" t="str">
        <f t="shared" si="3"/>
        <v>Jan</v>
      </c>
    </row>
    <row r="51" s="35" customFormat="1" spans="2:12">
      <c r="B51" s="45">
        <v>1044</v>
      </c>
      <c r="C51" s="46">
        <v>45313</v>
      </c>
      <c r="D51" s="47" t="s">
        <v>18</v>
      </c>
      <c r="E51" s="46">
        <v>45316</v>
      </c>
      <c r="F51" s="48">
        <v>69.99</v>
      </c>
      <c r="G51" s="47">
        <v>2</v>
      </c>
      <c r="H51" s="48">
        <f t="shared" si="0"/>
        <v>13.998</v>
      </c>
      <c r="I51" s="48">
        <f t="shared" si="4"/>
        <v>153.978</v>
      </c>
      <c r="J51" s="50">
        <f t="shared" si="1"/>
        <v>139.98</v>
      </c>
      <c r="K51" s="51">
        <f t="shared" si="2"/>
        <v>3</v>
      </c>
      <c r="L51" s="51" t="str">
        <f t="shared" si="3"/>
        <v>Jan</v>
      </c>
    </row>
    <row r="52" s="35" customFormat="1" spans="2:12">
      <c r="B52" s="45">
        <v>1045</v>
      </c>
      <c r="C52" s="46">
        <v>45314</v>
      </c>
      <c r="D52" s="47" t="s">
        <v>95</v>
      </c>
      <c r="E52" s="46">
        <v>45318</v>
      </c>
      <c r="F52" s="48">
        <v>39.99</v>
      </c>
      <c r="G52" s="47">
        <v>3</v>
      </c>
      <c r="H52" s="48">
        <f t="shared" si="0"/>
        <v>11.997</v>
      </c>
      <c r="I52" s="48">
        <f t="shared" si="4"/>
        <v>131.967</v>
      </c>
      <c r="J52" s="50">
        <f t="shared" si="1"/>
        <v>119.97</v>
      </c>
      <c r="K52" s="51">
        <f t="shared" si="2"/>
        <v>4</v>
      </c>
      <c r="L52" s="51" t="str">
        <f t="shared" si="3"/>
        <v>Jan</v>
      </c>
    </row>
    <row r="53" s="35" customFormat="1" spans="2:12">
      <c r="B53" s="45">
        <v>1046</v>
      </c>
      <c r="C53" s="46">
        <v>45314</v>
      </c>
      <c r="D53" s="47" t="s">
        <v>50</v>
      </c>
      <c r="E53" s="46">
        <v>45317</v>
      </c>
      <c r="F53" s="48">
        <v>199.99</v>
      </c>
      <c r="G53" s="47">
        <v>1</v>
      </c>
      <c r="H53" s="48">
        <f t="shared" si="0"/>
        <v>19.999</v>
      </c>
      <c r="I53" s="48">
        <f t="shared" si="4"/>
        <v>219.989</v>
      </c>
      <c r="J53" s="50">
        <f t="shared" si="1"/>
        <v>199.99</v>
      </c>
      <c r="K53" s="51">
        <f t="shared" si="2"/>
        <v>3</v>
      </c>
      <c r="L53" s="51" t="str">
        <f t="shared" si="3"/>
        <v>Jan</v>
      </c>
    </row>
    <row r="54" s="35" customFormat="1" spans="2:12">
      <c r="B54" s="45">
        <v>1047</v>
      </c>
      <c r="C54" s="46">
        <v>45315</v>
      </c>
      <c r="D54" s="47" t="s">
        <v>98</v>
      </c>
      <c r="E54" s="46">
        <v>45316</v>
      </c>
      <c r="F54" s="48">
        <v>29.99</v>
      </c>
      <c r="G54" s="47">
        <v>5</v>
      </c>
      <c r="H54" s="48">
        <f t="shared" si="0"/>
        <v>14.995</v>
      </c>
      <c r="I54" s="48">
        <f t="shared" si="4"/>
        <v>164.945</v>
      </c>
      <c r="J54" s="50">
        <f t="shared" si="1"/>
        <v>149.95</v>
      </c>
      <c r="K54" s="51">
        <f t="shared" si="2"/>
        <v>1</v>
      </c>
      <c r="L54" s="51" t="str">
        <f t="shared" si="3"/>
        <v>Jan</v>
      </c>
    </row>
    <row r="55" s="35" customFormat="1" spans="2:12">
      <c r="B55" s="45">
        <v>1048</v>
      </c>
      <c r="C55" s="46">
        <v>45315</v>
      </c>
      <c r="D55" s="47" t="s">
        <v>100</v>
      </c>
      <c r="E55" s="46">
        <v>45317</v>
      </c>
      <c r="F55" s="48">
        <v>79.99</v>
      </c>
      <c r="G55" s="47">
        <v>2</v>
      </c>
      <c r="H55" s="48">
        <f t="shared" si="0"/>
        <v>15.998</v>
      </c>
      <c r="I55" s="48">
        <f t="shared" si="4"/>
        <v>175.978</v>
      </c>
      <c r="J55" s="50">
        <f t="shared" si="1"/>
        <v>159.98</v>
      </c>
      <c r="K55" s="51">
        <f t="shared" si="2"/>
        <v>2</v>
      </c>
      <c r="L55" s="51" t="str">
        <f t="shared" si="3"/>
        <v>Jan</v>
      </c>
    </row>
    <row r="56" s="35" customFormat="1" spans="2:12">
      <c r="B56" s="45">
        <v>1049</v>
      </c>
      <c r="C56" s="46">
        <v>45316</v>
      </c>
      <c r="D56" s="47" t="s">
        <v>102</v>
      </c>
      <c r="E56" s="46">
        <v>45321</v>
      </c>
      <c r="F56" s="48">
        <v>49.99</v>
      </c>
      <c r="G56" s="47">
        <v>3</v>
      </c>
      <c r="H56" s="48">
        <f t="shared" si="0"/>
        <v>14.997</v>
      </c>
      <c r="I56" s="48">
        <f t="shared" si="4"/>
        <v>164.967</v>
      </c>
      <c r="J56" s="50">
        <f t="shared" si="1"/>
        <v>149.97</v>
      </c>
      <c r="K56" s="51">
        <f t="shared" si="2"/>
        <v>5</v>
      </c>
      <c r="L56" s="51" t="str">
        <f t="shared" si="3"/>
        <v>Jan</v>
      </c>
    </row>
    <row r="57" s="35" customFormat="1" spans="2:12">
      <c r="B57" s="45">
        <v>1050</v>
      </c>
      <c r="C57" s="46">
        <v>45316</v>
      </c>
      <c r="D57" s="47" t="s">
        <v>104</v>
      </c>
      <c r="E57" s="46">
        <v>45318</v>
      </c>
      <c r="F57" s="48">
        <v>129.99</v>
      </c>
      <c r="G57" s="47">
        <v>1</v>
      </c>
      <c r="H57" s="48">
        <f t="shared" si="0"/>
        <v>12.999</v>
      </c>
      <c r="I57" s="48">
        <f t="shared" si="4"/>
        <v>142.989</v>
      </c>
      <c r="J57" s="50">
        <f t="shared" si="1"/>
        <v>129.99</v>
      </c>
      <c r="K57" s="51">
        <f t="shared" si="2"/>
        <v>2</v>
      </c>
      <c r="L57" s="51" t="str">
        <f t="shared" si="3"/>
        <v>Jan</v>
      </c>
    </row>
    <row r="58" s="35" customFormat="1" spans="2:12">
      <c r="B58" s="45">
        <v>1051</v>
      </c>
      <c r="C58" s="46">
        <v>45317</v>
      </c>
      <c r="D58" s="47" t="s">
        <v>106</v>
      </c>
      <c r="E58" s="46">
        <v>45320</v>
      </c>
      <c r="F58" s="48">
        <v>19.99</v>
      </c>
      <c r="G58" s="47">
        <v>4</v>
      </c>
      <c r="H58" s="48">
        <f t="shared" si="0"/>
        <v>7.996</v>
      </c>
      <c r="I58" s="48">
        <f t="shared" si="4"/>
        <v>87.956</v>
      </c>
      <c r="J58" s="50">
        <f t="shared" si="1"/>
        <v>79.96</v>
      </c>
      <c r="K58" s="51">
        <f t="shared" si="2"/>
        <v>3</v>
      </c>
      <c r="L58" s="51" t="str">
        <f t="shared" si="3"/>
        <v>Jan</v>
      </c>
    </row>
    <row r="59" s="35" customFormat="1" spans="2:12">
      <c r="B59" s="45">
        <v>1052</v>
      </c>
      <c r="C59" s="46">
        <v>45317</v>
      </c>
      <c r="D59" s="47" t="s">
        <v>108</v>
      </c>
      <c r="E59" s="46">
        <v>45319</v>
      </c>
      <c r="F59" s="48">
        <v>149.99</v>
      </c>
      <c r="G59" s="47">
        <v>1</v>
      </c>
      <c r="H59" s="48">
        <f t="shared" si="0"/>
        <v>14.999</v>
      </c>
      <c r="I59" s="48">
        <f t="shared" si="4"/>
        <v>164.989</v>
      </c>
      <c r="J59" s="50">
        <f t="shared" si="1"/>
        <v>149.99</v>
      </c>
      <c r="K59" s="51">
        <f t="shared" si="2"/>
        <v>2</v>
      </c>
      <c r="L59" s="51" t="str">
        <f t="shared" si="3"/>
        <v>Jan</v>
      </c>
    </row>
    <row r="60" s="35" customFormat="1" spans="2:12">
      <c r="B60" s="45">
        <v>1053</v>
      </c>
      <c r="C60" s="46">
        <v>45318</v>
      </c>
      <c r="D60" s="47" t="s">
        <v>110</v>
      </c>
      <c r="E60" s="46">
        <v>45322</v>
      </c>
      <c r="F60" s="48">
        <v>69.99</v>
      </c>
      <c r="G60" s="47">
        <v>2</v>
      </c>
      <c r="H60" s="48">
        <f t="shared" si="0"/>
        <v>13.998</v>
      </c>
      <c r="I60" s="48">
        <f t="shared" si="4"/>
        <v>153.978</v>
      </c>
      <c r="J60" s="50">
        <f t="shared" si="1"/>
        <v>139.98</v>
      </c>
      <c r="K60" s="51">
        <f t="shared" si="2"/>
        <v>4</v>
      </c>
      <c r="L60" s="51" t="str">
        <f t="shared" si="3"/>
        <v>Jan</v>
      </c>
    </row>
    <row r="61" s="35" customFormat="1" spans="2:12">
      <c r="B61" s="45">
        <v>1054</v>
      </c>
      <c r="C61" s="46">
        <v>45318</v>
      </c>
      <c r="D61" s="47" t="s">
        <v>112</v>
      </c>
      <c r="E61" s="46">
        <v>45322</v>
      </c>
      <c r="F61" s="48">
        <v>39.99</v>
      </c>
      <c r="G61" s="47">
        <v>3</v>
      </c>
      <c r="H61" s="48">
        <f t="shared" si="0"/>
        <v>11.997</v>
      </c>
      <c r="I61" s="48">
        <f t="shared" si="4"/>
        <v>131.967</v>
      </c>
      <c r="J61" s="50">
        <f t="shared" si="1"/>
        <v>119.97</v>
      </c>
      <c r="K61" s="51">
        <f t="shared" si="2"/>
        <v>4</v>
      </c>
      <c r="L61" s="51" t="str">
        <f t="shared" si="3"/>
        <v>Jan</v>
      </c>
    </row>
    <row r="62" s="35" customFormat="1" spans="2:12">
      <c r="B62" s="45">
        <v>1055</v>
      </c>
      <c r="C62" s="46">
        <v>45319</v>
      </c>
      <c r="D62" s="47" t="s">
        <v>114</v>
      </c>
      <c r="E62" s="46">
        <v>45320</v>
      </c>
      <c r="F62" s="48">
        <v>199.99</v>
      </c>
      <c r="G62" s="47">
        <v>1</v>
      </c>
      <c r="H62" s="48">
        <f t="shared" si="0"/>
        <v>19.999</v>
      </c>
      <c r="I62" s="48">
        <f t="shared" si="4"/>
        <v>219.989</v>
      </c>
      <c r="J62" s="50">
        <f t="shared" si="1"/>
        <v>199.99</v>
      </c>
      <c r="K62" s="51">
        <f t="shared" si="2"/>
        <v>1</v>
      </c>
      <c r="L62" s="51" t="str">
        <f t="shared" si="3"/>
        <v>Jan</v>
      </c>
    </row>
    <row r="63" s="35" customFormat="1" spans="2:12">
      <c r="B63" s="45">
        <v>1056</v>
      </c>
      <c r="C63" s="46">
        <v>45319</v>
      </c>
      <c r="D63" s="47" t="s">
        <v>116</v>
      </c>
      <c r="E63" s="46">
        <v>45320</v>
      </c>
      <c r="F63" s="48">
        <v>29.99</v>
      </c>
      <c r="G63" s="47">
        <v>5</v>
      </c>
      <c r="H63" s="48">
        <f t="shared" si="0"/>
        <v>14.995</v>
      </c>
      <c r="I63" s="48">
        <f t="shared" si="4"/>
        <v>164.945</v>
      </c>
      <c r="J63" s="50">
        <f t="shared" si="1"/>
        <v>149.95</v>
      </c>
      <c r="K63" s="51">
        <f t="shared" si="2"/>
        <v>1</v>
      </c>
      <c r="L63" s="51" t="str">
        <f t="shared" si="3"/>
        <v>Jan</v>
      </c>
    </row>
    <row r="64" s="35" customFormat="1" spans="2:12">
      <c r="B64" s="45">
        <v>1057</v>
      </c>
      <c r="C64" s="46">
        <v>45320</v>
      </c>
      <c r="D64" s="47" t="s">
        <v>118</v>
      </c>
      <c r="E64" s="46">
        <v>45321</v>
      </c>
      <c r="F64" s="48">
        <v>79.99</v>
      </c>
      <c r="G64" s="47">
        <v>2</v>
      </c>
      <c r="H64" s="48">
        <f t="shared" si="0"/>
        <v>15.998</v>
      </c>
      <c r="I64" s="48">
        <f t="shared" si="4"/>
        <v>175.978</v>
      </c>
      <c r="J64" s="50">
        <f t="shared" si="1"/>
        <v>159.98</v>
      </c>
      <c r="K64" s="51">
        <f t="shared" si="2"/>
        <v>1</v>
      </c>
      <c r="L64" s="51" t="str">
        <f t="shared" si="3"/>
        <v>Jan</v>
      </c>
    </row>
    <row r="65" s="35" customFormat="1" spans="2:12">
      <c r="B65" s="45">
        <v>1058</v>
      </c>
      <c r="C65" s="46">
        <v>45320</v>
      </c>
      <c r="D65" s="47" t="s">
        <v>90</v>
      </c>
      <c r="E65" s="46">
        <v>45322</v>
      </c>
      <c r="F65" s="48">
        <v>49.99</v>
      </c>
      <c r="G65" s="47">
        <v>3</v>
      </c>
      <c r="H65" s="48">
        <f t="shared" si="0"/>
        <v>14.997</v>
      </c>
      <c r="I65" s="48">
        <f t="shared" si="4"/>
        <v>164.967</v>
      </c>
      <c r="J65" s="50">
        <f t="shared" si="1"/>
        <v>149.97</v>
      </c>
      <c r="K65" s="51">
        <f t="shared" si="2"/>
        <v>2</v>
      </c>
      <c r="L65" s="51" t="str">
        <f t="shared" si="3"/>
        <v>Jan</v>
      </c>
    </row>
    <row r="66" s="35" customFormat="1" spans="2:12">
      <c r="B66" s="45">
        <v>1059</v>
      </c>
      <c r="C66" s="46">
        <v>45321</v>
      </c>
      <c r="D66" s="47" t="s">
        <v>92</v>
      </c>
      <c r="E66" s="46">
        <v>45322</v>
      </c>
      <c r="F66" s="48">
        <v>129.99</v>
      </c>
      <c r="G66" s="47">
        <v>1</v>
      </c>
      <c r="H66" s="48">
        <f t="shared" si="0"/>
        <v>12.999</v>
      </c>
      <c r="I66" s="48">
        <f t="shared" si="4"/>
        <v>142.989</v>
      </c>
      <c r="J66" s="50">
        <f t="shared" si="1"/>
        <v>129.99</v>
      </c>
      <c r="K66" s="51">
        <f t="shared" si="2"/>
        <v>1</v>
      </c>
      <c r="L66" s="51" t="str">
        <f t="shared" si="3"/>
        <v>Jan</v>
      </c>
    </row>
    <row r="67" s="35" customFormat="1" spans="2:12">
      <c r="B67" s="45">
        <v>1060</v>
      </c>
      <c r="C67" s="46">
        <v>45321</v>
      </c>
      <c r="D67" s="47" t="s">
        <v>18</v>
      </c>
      <c r="E67" s="46">
        <v>45323</v>
      </c>
      <c r="F67" s="48">
        <v>19.99</v>
      </c>
      <c r="G67" s="47">
        <v>4</v>
      </c>
      <c r="H67" s="48">
        <f t="shared" si="0"/>
        <v>7.996</v>
      </c>
      <c r="I67" s="48">
        <f t="shared" si="4"/>
        <v>87.956</v>
      </c>
      <c r="J67" s="50">
        <f t="shared" si="1"/>
        <v>79.96</v>
      </c>
      <c r="K67" s="51">
        <f t="shared" si="2"/>
        <v>2</v>
      </c>
      <c r="L67" s="51" t="str">
        <f t="shared" si="3"/>
        <v>Jan</v>
      </c>
    </row>
    <row r="68" s="35" customFormat="1" spans="2:12">
      <c r="B68" s="45">
        <v>1061</v>
      </c>
      <c r="C68" s="46">
        <v>45322</v>
      </c>
      <c r="D68" s="47" t="s">
        <v>95</v>
      </c>
      <c r="E68" s="46">
        <v>45324</v>
      </c>
      <c r="F68" s="48">
        <v>149.99</v>
      </c>
      <c r="G68" s="47">
        <v>1</v>
      </c>
      <c r="H68" s="48">
        <f t="shared" si="0"/>
        <v>14.999</v>
      </c>
      <c r="I68" s="48">
        <f t="shared" si="4"/>
        <v>164.989</v>
      </c>
      <c r="J68" s="50">
        <f t="shared" si="1"/>
        <v>149.99</v>
      </c>
      <c r="K68" s="51">
        <f t="shared" si="2"/>
        <v>2</v>
      </c>
      <c r="L68" s="51" t="str">
        <f t="shared" si="3"/>
        <v>Jan</v>
      </c>
    </row>
    <row r="69" s="35" customFormat="1" spans="2:12">
      <c r="B69" s="45">
        <v>1062</v>
      </c>
      <c r="C69" s="46">
        <v>45322</v>
      </c>
      <c r="D69" s="47" t="s">
        <v>50</v>
      </c>
      <c r="E69" s="46">
        <v>45326</v>
      </c>
      <c r="F69" s="48">
        <v>69.99</v>
      </c>
      <c r="G69" s="47">
        <v>2</v>
      </c>
      <c r="H69" s="48">
        <f t="shared" si="0"/>
        <v>13.998</v>
      </c>
      <c r="I69" s="48">
        <f t="shared" si="4"/>
        <v>153.978</v>
      </c>
      <c r="J69" s="50">
        <f t="shared" si="1"/>
        <v>139.98</v>
      </c>
      <c r="K69" s="51">
        <f t="shared" si="2"/>
        <v>4</v>
      </c>
      <c r="L69" s="51" t="str">
        <f t="shared" si="3"/>
        <v>Jan</v>
      </c>
    </row>
    <row r="70" s="35" customFormat="1" spans="2:12">
      <c r="B70" s="45">
        <v>1063</v>
      </c>
      <c r="C70" s="46">
        <v>45323</v>
      </c>
      <c r="D70" s="47" t="s">
        <v>98</v>
      </c>
      <c r="E70" s="46">
        <v>45324</v>
      </c>
      <c r="F70" s="48">
        <v>39.99</v>
      </c>
      <c r="G70" s="47">
        <v>3</v>
      </c>
      <c r="H70" s="48">
        <f t="shared" si="0"/>
        <v>11.997</v>
      </c>
      <c r="I70" s="48">
        <f t="shared" si="4"/>
        <v>131.967</v>
      </c>
      <c r="J70" s="50">
        <f t="shared" si="1"/>
        <v>119.97</v>
      </c>
      <c r="K70" s="51">
        <f t="shared" si="2"/>
        <v>1</v>
      </c>
      <c r="L70" s="51" t="str">
        <f t="shared" si="3"/>
        <v>Feb</v>
      </c>
    </row>
    <row r="71" s="35" customFormat="1" spans="2:12">
      <c r="B71" s="45">
        <v>1064</v>
      </c>
      <c r="C71" s="46">
        <v>45323</v>
      </c>
      <c r="D71" s="47" t="s">
        <v>100</v>
      </c>
      <c r="E71" s="46">
        <v>45327</v>
      </c>
      <c r="F71" s="48">
        <v>199.99</v>
      </c>
      <c r="G71" s="47">
        <v>1</v>
      </c>
      <c r="H71" s="48">
        <f t="shared" si="0"/>
        <v>19.999</v>
      </c>
      <c r="I71" s="48">
        <f t="shared" si="4"/>
        <v>219.989</v>
      </c>
      <c r="J71" s="50">
        <f t="shared" si="1"/>
        <v>199.99</v>
      </c>
      <c r="K71" s="51">
        <f t="shared" si="2"/>
        <v>4</v>
      </c>
      <c r="L71" s="51" t="str">
        <f t="shared" si="3"/>
        <v>Feb</v>
      </c>
    </row>
    <row r="72" s="35" customFormat="1" spans="2:12">
      <c r="B72" s="45">
        <v>1065</v>
      </c>
      <c r="C72" s="46">
        <v>45323</v>
      </c>
      <c r="D72" s="47" t="s">
        <v>102</v>
      </c>
      <c r="E72" s="46">
        <v>45325</v>
      </c>
      <c r="F72" s="48">
        <v>29.99</v>
      </c>
      <c r="G72" s="47">
        <v>5</v>
      </c>
      <c r="H72" s="48">
        <f t="shared" ref="H72:H77" si="5">F72*G72*$I$5</f>
        <v>14.995</v>
      </c>
      <c r="I72" s="48">
        <f t="shared" si="4"/>
        <v>164.945</v>
      </c>
      <c r="J72" s="50">
        <f t="shared" ref="J72:J77" si="6">F72*G72</f>
        <v>149.95</v>
      </c>
      <c r="K72" s="51">
        <f t="shared" ref="K72:K77" si="7">_xlfn.DAYS(E72,C72)</f>
        <v>2</v>
      </c>
      <c r="L72" s="51" t="str">
        <f t="shared" ref="L72:L77" si="8">TEXT(C72,"mmm")</f>
        <v>Feb</v>
      </c>
    </row>
    <row r="73" s="35" customFormat="1" spans="2:12">
      <c r="B73" s="45">
        <v>1066</v>
      </c>
      <c r="C73" s="46">
        <v>45324</v>
      </c>
      <c r="D73" s="47" t="s">
        <v>104</v>
      </c>
      <c r="E73" s="46">
        <v>45328</v>
      </c>
      <c r="F73" s="48">
        <v>79.99</v>
      </c>
      <c r="G73" s="47">
        <v>2</v>
      </c>
      <c r="H73" s="48">
        <f t="shared" si="5"/>
        <v>15.998</v>
      </c>
      <c r="I73" s="48">
        <f>F73*G73+H73</f>
        <v>175.978</v>
      </c>
      <c r="J73" s="50">
        <f t="shared" si="6"/>
        <v>159.98</v>
      </c>
      <c r="K73" s="51">
        <f t="shared" si="7"/>
        <v>4</v>
      </c>
      <c r="L73" s="51" t="str">
        <f t="shared" si="8"/>
        <v>Feb</v>
      </c>
    </row>
    <row r="74" s="35" customFormat="1" spans="2:12">
      <c r="B74" s="45">
        <v>1067</v>
      </c>
      <c r="C74" s="46">
        <v>45325</v>
      </c>
      <c r="D74" s="47" t="s">
        <v>106</v>
      </c>
      <c r="E74" s="46">
        <v>45328</v>
      </c>
      <c r="F74" s="48">
        <v>49.99</v>
      </c>
      <c r="G74" s="47">
        <v>3</v>
      </c>
      <c r="H74" s="48">
        <f t="shared" si="5"/>
        <v>14.997</v>
      </c>
      <c r="I74" s="48">
        <f>F74*G74+H74</f>
        <v>164.967</v>
      </c>
      <c r="J74" s="50">
        <f t="shared" si="6"/>
        <v>149.97</v>
      </c>
      <c r="K74" s="51">
        <f t="shared" si="7"/>
        <v>3</v>
      </c>
      <c r="L74" s="51" t="str">
        <f t="shared" si="8"/>
        <v>Feb</v>
      </c>
    </row>
    <row r="75" s="35" customFormat="1" spans="2:12">
      <c r="B75" s="45">
        <v>1068</v>
      </c>
      <c r="C75" s="46">
        <v>45326</v>
      </c>
      <c r="D75" s="47" t="s">
        <v>108</v>
      </c>
      <c r="E75" s="46">
        <v>45327</v>
      </c>
      <c r="F75" s="48">
        <v>129.99</v>
      </c>
      <c r="G75" s="47">
        <v>1</v>
      </c>
      <c r="H75" s="48">
        <f t="shared" si="5"/>
        <v>12.999</v>
      </c>
      <c r="I75" s="48">
        <f>F75*G75+H75</f>
        <v>142.989</v>
      </c>
      <c r="J75" s="50">
        <f t="shared" si="6"/>
        <v>129.99</v>
      </c>
      <c r="K75" s="51">
        <f t="shared" si="7"/>
        <v>1</v>
      </c>
      <c r="L75" s="51" t="str">
        <f t="shared" si="8"/>
        <v>Feb</v>
      </c>
    </row>
    <row r="76" s="35" customFormat="1" spans="2:12">
      <c r="B76" s="45">
        <v>1069</v>
      </c>
      <c r="C76" s="46">
        <v>45326</v>
      </c>
      <c r="D76" s="47" t="s">
        <v>110</v>
      </c>
      <c r="E76" s="46">
        <v>45330</v>
      </c>
      <c r="F76" s="48">
        <v>19.99</v>
      </c>
      <c r="G76" s="47">
        <v>4</v>
      </c>
      <c r="H76" s="48">
        <f t="shared" si="5"/>
        <v>7.996</v>
      </c>
      <c r="I76" s="48">
        <f>F76*G76+H76</f>
        <v>87.956</v>
      </c>
      <c r="J76" s="50">
        <f t="shared" si="6"/>
        <v>79.96</v>
      </c>
      <c r="K76" s="51">
        <f t="shared" si="7"/>
        <v>4</v>
      </c>
      <c r="L76" s="51" t="str">
        <f t="shared" si="8"/>
        <v>Feb</v>
      </c>
    </row>
    <row r="77" s="35" customFormat="1" spans="2:12">
      <c r="B77" s="52">
        <v>1070</v>
      </c>
      <c r="C77" s="53">
        <v>45326</v>
      </c>
      <c r="D77" s="54" t="s">
        <v>112</v>
      </c>
      <c r="E77" s="53">
        <v>45329</v>
      </c>
      <c r="F77" s="55">
        <v>149.99</v>
      </c>
      <c r="G77" s="54">
        <v>1</v>
      </c>
      <c r="H77" s="55">
        <f t="shared" si="5"/>
        <v>14.999</v>
      </c>
      <c r="I77" s="55">
        <f>F77*G77+H77</f>
        <v>164.989</v>
      </c>
      <c r="J77" s="50">
        <f t="shared" si="6"/>
        <v>149.99</v>
      </c>
      <c r="K77" s="51">
        <f t="shared" si="7"/>
        <v>3</v>
      </c>
      <c r="L77" s="51" t="str">
        <f t="shared" si="8"/>
        <v>Feb</v>
      </c>
    </row>
    <row r="78" s="35" customFormat="1" spans="2:12">
      <c r="B78" s="56"/>
      <c r="C78" s="57"/>
      <c r="D78" s="58"/>
      <c r="E78" s="57"/>
      <c r="F78" s="58"/>
      <c r="G78" s="58">
        <f>SUM(G8:G77)</f>
        <v>168</v>
      </c>
      <c r="H78" s="58"/>
      <c r="I78" s="58"/>
      <c r="J78" s="59"/>
      <c r="K78" s="59"/>
      <c r="L78" s="59"/>
    </row>
    <row r="79" s="35" customFormat="1" spans="2:12">
      <c r="C79" s="60"/>
    </row>
  </sheetData>
  <mergeCells count="1">
    <mergeCell ref="B2:L3"/>
  </mergeCells>
  <conditionalFormatting sqref="I8:I77">
    <cfRule type="cellIs" dxfId="21" priority="3" operator="greaterThan">
      <formula>150</formula>
    </cfRule>
    <cfRule type="cellIs" dxfId="22" priority="2" operator="greaterThan">
      <formula>100</formula>
    </cfRule>
    <cfRule type="top10" dxfId="23" priority="1" rank="10"/>
  </conditionalFormatting>
  <pageMargins left="0.7" right="0.7" top="0.75" bottom="0.75" header="0.3" footer="0.3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1714b5d-e152-40e1-8b8b-213e296a782a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L$1:L$1048576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selection activeCell="B33" sqref="B33:H33"/>
    </sheetView>
  </sheetViews>
  <sheetFormatPr defaultColWidth="9" defaultRowHeight="14.25"/>
  <cols>
    <col min="1" max="1" width="21.375" customWidth="1"/>
    <col min="2" max="2" width="9.375"/>
    <col min="7" max="7" width="11.375" customWidth="1"/>
  </cols>
  <sheetData>
    <row r="1" spans="1:15">
      <c r="A1" s="21" t="s">
        <v>148</v>
      </c>
      <c r="B1" s="22"/>
      <c r="C1" s="22"/>
      <c r="D1" s="22"/>
      <c r="E1" s="22"/>
      <c r="F1" s="22"/>
      <c r="G1" s="22"/>
      <c r="H1" s="22"/>
      <c r="I1" s="22"/>
      <c r="J1" s="23"/>
    </row>
    <row r="2" ht="15" spans="1:15">
      <c r="A2" s="24"/>
      <c r="B2" s="25"/>
      <c r="C2" s="25"/>
      <c r="D2" s="25"/>
      <c r="E2" s="25"/>
      <c r="F2" s="25"/>
      <c r="G2" s="25"/>
      <c r="H2" s="25"/>
      <c r="I2" s="25"/>
      <c r="J2" s="26"/>
    </row>
    <row r="4" ht="15" spans="1:15">
      <c r="A4" s="19" t="s">
        <v>149</v>
      </c>
      <c r="B4" s="27" t="s">
        <v>150</v>
      </c>
      <c r="C4" s="27"/>
      <c r="D4" s="27"/>
      <c r="E4" s="27"/>
      <c r="F4" s="3"/>
      <c r="G4" s="19" t="s">
        <v>151</v>
      </c>
      <c r="H4" s="27" t="s">
        <v>152</v>
      </c>
      <c r="I4" s="27"/>
      <c r="J4" s="27"/>
      <c r="K4" s="27"/>
      <c r="L4" s="27"/>
      <c r="M4" s="27"/>
      <c r="N4" s="3"/>
      <c r="O4" s="3"/>
    </row>
    <row r="5" spans="1:15">
      <c r="B5" s="28" t="str">
        <f>IF('cleaned dataset'!I8&gt;150,"High Value","Normal")</f>
        <v>Normal</v>
      </c>
      <c r="C5" s="28"/>
      <c r="D5" s="28"/>
      <c r="E5" s="28"/>
      <c r="F5" s="3"/>
      <c r="H5" s="28" t="str">
        <f>IF('cleaned dataset'!I8&lt;100,"low",IF('cleaned dataset'!I8&gt;=150,"Medium","High"))</f>
        <v>High</v>
      </c>
      <c r="I5" s="28"/>
      <c r="J5" s="28"/>
      <c r="K5" s="28"/>
      <c r="L5" s="28"/>
      <c r="M5" s="28"/>
      <c r="N5" s="3"/>
      <c r="O5" s="3"/>
    </row>
    <row r="6" ht="19" customHeight="1" spans="1:15">
      <c r="B6" s="29"/>
      <c r="C6" s="29"/>
      <c r="D6" s="29"/>
      <c r="E6" s="29"/>
      <c r="F6" s="30"/>
    </row>
    <row r="7" ht="15" spans="1:15">
      <c r="A7" s="19"/>
      <c r="B7" s="31"/>
      <c r="C7" s="31"/>
      <c r="D7" s="31"/>
      <c r="E7" s="31"/>
      <c r="F7" s="30"/>
    </row>
    <row r="8" ht="15" spans="1:15">
      <c r="A8" s="32" t="s">
        <v>153</v>
      </c>
      <c r="B8" s="31" t="s">
        <v>154</v>
      </c>
      <c r="C8" s="31"/>
      <c r="D8" s="31"/>
      <c r="E8" s="31"/>
      <c r="F8" s="30"/>
    </row>
    <row r="9" spans="1:15">
      <c r="B9" s="28">
        <f>SUMIF('cleaned dataset'!D8:D77,"John Smith",'cleaned dataset'!I8:I77)</f>
        <v>109.98</v>
      </c>
      <c r="C9" s="28"/>
      <c r="D9" s="28"/>
      <c r="E9" s="28"/>
    </row>
    <row r="11" spans="1:15">
      <c r="B11" s="27" t="s">
        <v>155</v>
      </c>
      <c r="C11" s="27"/>
      <c r="D11" s="27"/>
      <c r="E11" s="27"/>
      <c r="F11" s="27"/>
    </row>
    <row r="12" spans="1:15">
      <c r="B12" s="28">
        <f>SUMIF('cleaned dataset'!G8:G77,3,'cleaned dataset'!I8:I77)</f>
        <v>2408.505</v>
      </c>
      <c r="C12" s="28"/>
      <c r="D12" s="28"/>
      <c r="E12" s="28"/>
      <c r="F12" s="28"/>
    </row>
    <row r="13" spans="1:15">
      <c r="G13" s="33"/>
    </row>
    <row r="14" spans="1:15">
      <c r="A14" s="34" t="s">
        <v>156</v>
      </c>
      <c r="B14" s="27" t="s">
        <v>157</v>
      </c>
      <c r="C14" s="27"/>
      <c r="D14" s="27"/>
      <c r="E14" s="27"/>
      <c r="F14" s="27"/>
      <c r="G14" s="27"/>
    </row>
    <row r="15" spans="1:15">
      <c r="B15" s="28">
        <f>SUMIFS('cleaned dataset'!I8:I77,'cleaned dataset'!D8:D77,"John Smith",'cleaned dataset'!G8:G77,2)</f>
        <v>109.98</v>
      </c>
      <c r="C15" s="28"/>
      <c r="D15" s="28"/>
      <c r="E15" s="28"/>
      <c r="F15" s="28"/>
    </row>
    <row r="17" spans="1:10">
      <c r="B17" s="27" t="s">
        <v>158</v>
      </c>
      <c r="C17" s="27"/>
      <c r="D17" s="27"/>
      <c r="E17" s="27"/>
      <c r="F17" s="27"/>
      <c r="G17" s="27"/>
      <c r="H17" s="27"/>
    </row>
    <row r="18" spans="1:10">
      <c r="B18" s="28">
        <f>SUMIFS('cleaned dataset'!I8:I77,'cleaned dataset'!G8:G77,"&gt;2",'cleaned dataset'!I8:I77,"&gt;100")</f>
        <v>3563.12</v>
      </c>
      <c r="C18" s="28"/>
      <c r="D18" s="28"/>
      <c r="E18" s="28"/>
      <c r="F18" s="28"/>
      <c r="G18" s="28"/>
    </row>
    <row r="20" ht="15" spans="1:10">
      <c r="A20" s="19" t="s">
        <v>159</v>
      </c>
      <c r="B20" s="27" t="s">
        <v>160</v>
      </c>
      <c r="C20" s="27"/>
      <c r="D20" s="27"/>
      <c r="E20" s="27"/>
      <c r="F20" s="3"/>
      <c r="G20" s="3"/>
      <c r="H20" s="3"/>
    </row>
    <row r="21" spans="1:10">
      <c r="B21" s="28">
        <f>COUNTIF('cleaned dataset'!D8:D77,"John Smith")</f>
        <v>1</v>
      </c>
      <c r="C21" s="28"/>
      <c r="D21" s="28"/>
      <c r="E21" s="28"/>
      <c r="F21" s="3"/>
      <c r="G21" s="3"/>
      <c r="H21" s="3"/>
    </row>
    <row r="22" spans="1:10">
      <c r="B22" s="3"/>
      <c r="C22" s="3"/>
      <c r="D22" s="3"/>
      <c r="E22" s="3"/>
      <c r="F22" s="3"/>
      <c r="G22" s="3"/>
      <c r="H22" s="3"/>
    </row>
    <row r="23" ht="15" spans="1:10">
      <c r="A23" s="19" t="s">
        <v>161</v>
      </c>
      <c r="B23" s="27" t="s">
        <v>162</v>
      </c>
      <c r="C23" s="27"/>
      <c r="D23" s="27"/>
      <c r="E23" s="27"/>
      <c r="F23" s="27"/>
      <c r="G23" s="27"/>
      <c r="H23" s="3"/>
    </row>
    <row r="24" spans="1:10">
      <c r="B24" s="28">
        <f>COUNTIFS('cleaned dataset'!D8:D77,"Emily Brown",'cleaned dataset'!G8:G77,4)</f>
        <v>2</v>
      </c>
      <c r="C24" s="28"/>
      <c r="D24" s="28"/>
      <c r="E24" s="28"/>
      <c r="F24" s="28"/>
      <c r="G24" s="28"/>
      <c r="H24" s="3"/>
    </row>
    <row r="25" spans="1:10">
      <c r="B25" s="3"/>
      <c r="C25" s="3"/>
      <c r="D25" s="3"/>
      <c r="E25" s="3"/>
      <c r="F25" s="3"/>
      <c r="G25" s="3"/>
      <c r="H25" s="3"/>
    </row>
    <row r="26" spans="1:10">
      <c r="B26" s="27" t="s">
        <v>163</v>
      </c>
      <c r="C26" s="27"/>
      <c r="D26" s="27"/>
      <c r="E26" s="27"/>
      <c r="F26" s="27"/>
      <c r="G26" s="27"/>
      <c r="H26" s="3"/>
    </row>
    <row r="27" spans="1:10">
      <c r="B27" s="28">
        <f>COUNTIFS('cleaned dataset'!G8:G77,3,'cleaned dataset'!I8:I77,"&gt;100")</f>
        <v>15</v>
      </c>
      <c r="C27" s="28"/>
      <c r="D27" s="28"/>
      <c r="E27" s="28"/>
      <c r="F27" s="28"/>
      <c r="G27" s="3"/>
      <c r="H27" s="3"/>
    </row>
    <row r="29" ht="15" spans="1:10">
      <c r="A29" s="19" t="s">
        <v>164</v>
      </c>
      <c r="B29" s="27" t="s">
        <v>165</v>
      </c>
      <c r="C29" s="27"/>
      <c r="D29" s="27"/>
      <c r="E29" s="27"/>
      <c r="F29" s="3"/>
      <c r="G29" s="3"/>
      <c r="H29" s="3"/>
      <c r="I29" s="3"/>
      <c r="J29" s="3"/>
    </row>
    <row r="30" spans="1:10">
      <c r="A30" s="3"/>
      <c r="B30" s="28" t="b">
        <f>AND('cleaned dataset'!G8&gt;2,'cleaned dataset'!I8&gt;100)</f>
        <v>0</v>
      </c>
      <c r="C30" s="28"/>
      <c r="D30" s="28"/>
      <c r="E30" s="28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5" spans="1:10">
      <c r="A32" s="19" t="s">
        <v>166</v>
      </c>
      <c r="B32" s="27" t="s">
        <v>167</v>
      </c>
      <c r="C32" s="27"/>
      <c r="D32" s="27"/>
      <c r="E32" s="27"/>
      <c r="F32" s="27"/>
      <c r="G32" s="27"/>
      <c r="H32" s="27"/>
      <c r="I32" s="3"/>
      <c r="J32" s="3"/>
    </row>
    <row r="33" spans="1:11">
      <c r="A33" s="3"/>
      <c r="B33" s="28" t="str">
        <f>IF(AND('cleaned dataset'!G8&gt;2,'cleaned dataset'!I8&gt;100),"High Value","Normal")</f>
        <v>Normal</v>
      </c>
      <c r="C33" s="28"/>
      <c r="D33" s="28"/>
      <c r="E33" s="28"/>
      <c r="F33" s="28"/>
      <c r="G33" s="28"/>
      <c r="H33" s="28"/>
      <c r="I33" s="3"/>
      <c r="J33" s="3"/>
    </row>
    <row r="35" ht="15" spans="1:11">
      <c r="A35" s="19" t="s">
        <v>168</v>
      </c>
      <c r="B35" s="27" t="s">
        <v>169</v>
      </c>
      <c r="C35" s="27"/>
      <c r="D35" s="27"/>
      <c r="E35" s="3"/>
      <c r="F35" s="3"/>
      <c r="G35" s="3"/>
      <c r="H35" s="3"/>
      <c r="I35" s="3"/>
    </row>
    <row r="36" spans="1:11">
      <c r="A36" s="3"/>
      <c r="B36" s="28" t="b">
        <f>OR('cleaned dataset'!G10&gt;3,'cleaned dataset'!I10&gt;200)</f>
        <v>1</v>
      </c>
      <c r="C36" s="28"/>
      <c r="D36" s="28"/>
      <c r="E36" s="3"/>
      <c r="F36" s="3"/>
      <c r="G36" s="3"/>
      <c r="H36" s="3"/>
      <c r="I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</row>
    <row r="38" ht="15" spans="1:11">
      <c r="A38" s="19" t="s">
        <v>170</v>
      </c>
      <c r="B38" s="27" t="s">
        <v>171</v>
      </c>
      <c r="C38" s="27"/>
      <c r="D38" s="27"/>
      <c r="E38" s="27"/>
      <c r="F38" s="27"/>
      <c r="G38" s="27"/>
      <c r="H38" s="3"/>
      <c r="I38" s="3"/>
    </row>
    <row r="39" spans="1:11">
      <c r="A39" s="3"/>
      <c r="B39" s="28" t="str">
        <f>IF(OR('cleaned dataset'!G10&gt;3,'cleaned dataset'!I10&gt;200),"Important Order")</f>
        <v>Important Order</v>
      </c>
      <c r="C39" s="28"/>
      <c r="D39" s="28"/>
      <c r="E39" s="28"/>
      <c r="F39" s="28"/>
      <c r="G39" s="28"/>
      <c r="H39" s="3"/>
      <c r="I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</row>
    <row r="41" ht="15" spans="1:11">
      <c r="A41" s="19" t="s">
        <v>172</v>
      </c>
      <c r="B41" s="27" t="s">
        <v>173</v>
      </c>
      <c r="C41" s="27"/>
      <c r="D41" s="3"/>
      <c r="E41" s="3"/>
      <c r="F41" s="3"/>
      <c r="G41" s="3"/>
    </row>
    <row r="42" spans="1:11">
      <c r="A42" s="3"/>
      <c r="B42" s="28" t="b">
        <f>NOT('cleaned dataset'!G8)</f>
        <v>0</v>
      </c>
      <c r="C42" s="28"/>
      <c r="D42" s="3"/>
      <c r="E42" s="3"/>
      <c r="F42" s="3"/>
      <c r="G42" s="3"/>
    </row>
    <row r="43" spans="1:11">
      <c r="A43" s="3"/>
      <c r="B43" s="3"/>
      <c r="C43" s="3"/>
      <c r="D43" s="3"/>
      <c r="E43" s="3"/>
      <c r="F43" s="3"/>
      <c r="G43" s="3"/>
    </row>
    <row r="44" ht="15" spans="1:11">
      <c r="A44" s="19" t="s">
        <v>174</v>
      </c>
      <c r="B44" s="27" t="s">
        <v>175</v>
      </c>
      <c r="C44" s="27"/>
      <c r="D44" s="27"/>
      <c r="E44" s="27"/>
      <c r="F44" s="27"/>
      <c r="G44" s="3"/>
    </row>
    <row r="45" spans="1:11">
      <c r="A45" s="3"/>
      <c r="B45" s="28" t="str">
        <f>IF(NOT('cleaned dataset'!G8&gt;3),"Normal Quantity","High Quantity")</f>
        <v>Normal Quantity</v>
      </c>
      <c r="C45" s="28"/>
      <c r="D45" s="28"/>
      <c r="E45" s="28"/>
      <c r="F45" s="3"/>
      <c r="G45" s="3"/>
    </row>
    <row r="47" ht="15" spans="1:11">
      <c r="A47" s="19" t="s">
        <v>176</v>
      </c>
      <c r="B47" s="27" t="s">
        <v>177</v>
      </c>
      <c r="C47" s="27"/>
      <c r="D47" s="27"/>
      <c r="E47" s="27"/>
      <c r="F47" s="27"/>
      <c r="G47" s="27"/>
      <c r="H47" s="27"/>
      <c r="I47" s="27"/>
      <c r="J47" s="3"/>
      <c r="K47" s="3"/>
    </row>
    <row r="48" spans="1:11">
      <c r="A48" s="3"/>
      <c r="B48" s="28" t="str">
        <f>IF(AND('cleaned dataset'!G8&gt;2,OR('cleaned dataset'!I8&gt;150,'cleaned dataset'!H8&gt;15)),"Special Order","Normal Order")</f>
        <v>Normal Order</v>
      </c>
      <c r="C48" s="28"/>
      <c r="D48" s="28"/>
      <c r="E48" s="28"/>
      <c r="F48" s="28"/>
      <c r="G48" s="28"/>
      <c r="H48" s="28"/>
      <c r="I48" s="28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ht="15" spans="1:11">
      <c r="A50" s="19" t="s">
        <v>178</v>
      </c>
      <c r="B50" s="27" t="s">
        <v>179</v>
      </c>
      <c r="C50" s="27"/>
      <c r="D50" s="27"/>
      <c r="E50" s="27"/>
      <c r="F50" s="27"/>
      <c r="G50" s="27"/>
      <c r="H50" s="27"/>
      <c r="I50" s="27"/>
      <c r="J50" s="3"/>
      <c r="K50" s="3"/>
    </row>
    <row r="51" spans="1:11">
      <c r="A51" s="3"/>
      <c r="B51" s="28" t="str">
        <f>IF(AND('cleaned dataset'!I8&gt;200,'cleaned dataset'!G8&gt;2),"Premium",IF('cleaned dataset'!I8&gt;100,"Regular","Basic"))</f>
        <v>Regular</v>
      </c>
      <c r="C51" s="28"/>
      <c r="D51" s="28"/>
      <c r="E51" s="28"/>
      <c r="F51" s="28"/>
      <c r="G51" s="28"/>
      <c r="H51" s="28"/>
      <c r="I51" s="3"/>
      <c r="J51" s="3"/>
      <c r="K51" s="3"/>
    </row>
  </sheetData>
  <mergeCells count="34">
    <mergeCell ref="B4:E4"/>
    <mergeCell ref="H4:M4"/>
    <mergeCell ref="B5:E5"/>
    <mergeCell ref="H5:M5"/>
    <mergeCell ref="B9:E9"/>
    <mergeCell ref="B11:F11"/>
    <mergeCell ref="B12:F12"/>
    <mergeCell ref="B14:G14"/>
    <mergeCell ref="B15:F15"/>
    <mergeCell ref="B17:H17"/>
    <mergeCell ref="B18:G18"/>
    <mergeCell ref="B20:E20"/>
    <mergeCell ref="B21:E21"/>
    <mergeCell ref="B23:G23"/>
    <mergeCell ref="B24:G24"/>
    <mergeCell ref="B26:G26"/>
    <mergeCell ref="B27:F27"/>
    <mergeCell ref="B29:E29"/>
    <mergeCell ref="B30:E30"/>
    <mergeCell ref="B32:H32"/>
    <mergeCell ref="B33:H33"/>
    <mergeCell ref="B35:D35"/>
    <mergeCell ref="B36:D36"/>
    <mergeCell ref="B38:G38"/>
    <mergeCell ref="B39:G39"/>
    <mergeCell ref="B41:C41"/>
    <mergeCell ref="B42:C42"/>
    <mergeCell ref="B44:F44"/>
    <mergeCell ref="B45:E45"/>
    <mergeCell ref="B47:I47"/>
    <mergeCell ref="B48:I48"/>
    <mergeCell ref="B50:I50"/>
    <mergeCell ref="B51:H51"/>
    <mergeCell ref="A1:J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B20" sqref="B20:D20"/>
    </sheetView>
  </sheetViews>
  <sheetFormatPr defaultColWidth="9" defaultRowHeight="14.25" outlineLevelCol="7"/>
  <cols>
    <col min="1" max="1" width="15.625" customWidth="1"/>
    <col min="2" max="2" width="10.75"/>
    <col min="4" max="4" width="10.75" customWidth="1"/>
  </cols>
  <sheetData>
    <row r="1" spans="1:8">
      <c r="B1" s="14" t="s">
        <v>180</v>
      </c>
      <c r="C1" s="14"/>
      <c r="D1" s="14"/>
      <c r="E1" s="14"/>
      <c r="F1" s="14"/>
      <c r="G1" s="14"/>
      <c r="H1" s="14"/>
    </row>
    <row r="2" spans="1:8">
      <c r="B2" s="14"/>
      <c r="C2" s="14"/>
      <c r="D2" s="14"/>
      <c r="E2" s="14"/>
      <c r="F2" s="14"/>
      <c r="G2" s="14"/>
      <c r="H2" s="14"/>
    </row>
    <row r="4" ht="15" spans="1:8">
      <c r="A4" s="15" t="s">
        <v>181</v>
      </c>
      <c r="B4" s="16" t="s">
        <v>182</v>
      </c>
      <c r="C4" s="16"/>
      <c r="D4" s="16"/>
      <c r="E4" s="16"/>
      <c r="F4" s="16"/>
    </row>
    <row r="5" spans="1:8">
      <c r="A5" s="3"/>
      <c r="B5" s="17" t="str">
        <f>VLOOKUP('cleaned dataset'!B13,'cleaned dataset'!B8:D77,3,FALSE)</f>
        <v>Lisa Taylor</v>
      </c>
      <c r="C5" s="17"/>
      <c r="D5" s="17"/>
      <c r="E5" s="17"/>
      <c r="F5" s="3"/>
    </row>
    <row r="6" spans="1:8">
      <c r="A6" s="3"/>
      <c r="B6" s="3"/>
      <c r="C6" s="3"/>
      <c r="D6" s="3"/>
      <c r="E6" s="3"/>
      <c r="F6" s="3"/>
    </row>
    <row r="7" ht="15" spans="1:8">
      <c r="A7" s="15" t="s">
        <v>183</v>
      </c>
      <c r="B7" s="16" t="s">
        <v>184</v>
      </c>
      <c r="C7" s="16"/>
      <c r="D7" s="16"/>
      <c r="E7" s="3"/>
      <c r="F7" s="3"/>
    </row>
    <row r="8" spans="1:8">
      <c r="A8" s="3"/>
      <c r="B8" s="17">
        <f>HLOOKUP('cleaned dataset'!I8,'cleaned dataset'!B8:I77,2,FALSE)</f>
        <v>32.989</v>
      </c>
      <c r="C8" s="17"/>
      <c r="D8" s="17"/>
      <c r="E8" s="3"/>
      <c r="F8" s="3"/>
    </row>
    <row r="9" spans="1:8">
      <c r="A9" s="3"/>
      <c r="B9" s="3"/>
      <c r="C9" s="3"/>
      <c r="D9" s="3"/>
      <c r="E9" s="3"/>
      <c r="F9" s="3"/>
    </row>
    <row r="10" ht="15" spans="1:8">
      <c r="A10" s="15" t="s">
        <v>185</v>
      </c>
      <c r="B10" s="18" t="s">
        <v>186</v>
      </c>
      <c r="C10" s="18"/>
      <c r="D10" s="18"/>
      <c r="E10" s="18"/>
      <c r="F10" s="3"/>
    </row>
    <row r="11" spans="1:8">
      <c r="A11" s="3"/>
      <c r="B11" s="17">
        <f>_xlfn.XLOOKUP(1010,'cleaned dataset'!B8:B78,'cleaned dataset'!F8:F78)</f>
        <v>199.99</v>
      </c>
      <c r="C11" s="17"/>
      <c r="D11" s="17"/>
      <c r="E11" s="17"/>
      <c r="F11" s="3"/>
    </row>
    <row r="13" ht="15" spans="1:8">
      <c r="A13" s="19" t="s">
        <v>187</v>
      </c>
      <c r="B13" s="16" t="s">
        <v>188</v>
      </c>
      <c r="C13" s="16"/>
      <c r="D13" s="16"/>
    </row>
    <row r="14" spans="1:8">
      <c r="A14" s="3"/>
      <c r="B14" s="17">
        <f>MATCH("Jessica Wilson",'cleaned dataset'!D8:D77,0)</f>
        <v>48</v>
      </c>
      <c r="C14" s="17"/>
      <c r="D14" s="17"/>
    </row>
    <row r="15" spans="1:8">
      <c r="A15" s="3"/>
      <c r="B15" s="3"/>
      <c r="C15" s="3"/>
      <c r="D15" s="3"/>
    </row>
    <row r="16" ht="15" spans="1:8">
      <c r="A16" s="19" t="s">
        <v>189</v>
      </c>
      <c r="B16" s="16" t="s">
        <v>190</v>
      </c>
      <c r="C16" s="16"/>
      <c r="D16" s="16"/>
    </row>
    <row r="17" spans="1:4">
      <c r="A17" s="3"/>
      <c r="B17" s="17">
        <f>INDEX('cleaned dataset'!I8:I77,15)</f>
        <v>87.956</v>
      </c>
      <c r="C17" s="17"/>
      <c r="D17" s="17"/>
    </row>
    <row r="18" spans="1:4">
      <c r="A18" s="3"/>
      <c r="B18" s="3"/>
      <c r="C18" s="3"/>
      <c r="D18" s="3"/>
    </row>
    <row r="19" ht="15" spans="1:4">
      <c r="A19" s="19" t="s">
        <v>191</v>
      </c>
      <c r="B19" s="16" t="s">
        <v>192</v>
      </c>
      <c r="C19" s="16"/>
      <c r="D19" s="16"/>
    </row>
    <row r="20" spans="1:4">
      <c r="A20" s="3"/>
      <c r="B20" s="20" cm="1">
        <f t="array" ref="B20">INDEX('cleaned dataset'!E8:E77,MATCH('cleaned dataset'!B17,'cleaned dataset'!B8:B77,0))</f>
        <v>45299</v>
      </c>
      <c r="C20" s="20"/>
      <c r="D20" s="20"/>
    </row>
  </sheetData>
  <mergeCells count="13">
    <mergeCell ref="B4:F4"/>
    <mergeCell ref="B5:E5"/>
    <mergeCell ref="B7:D7"/>
    <mergeCell ref="B8:D8"/>
    <mergeCell ref="B10:E10"/>
    <mergeCell ref="B11:E11"/>
    <mergeCell ref="B13:D13"/>
    <mergeCell ref="B14:D14"/>
    <mergeCell ref="B16:D16"/>
    <mergeCell ref="B17:D17"/>
    <mergeCell ref="B19:D19"/>
    <mergeCell ref="B20:D20"/>
    <mergeCell ref="B1:H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5"/>
  <sheetViews>
    <sheetView workbookViewId="0">
      <selection activeCell="C21" sqref="C21:D21"/>
    </sheetView>
  </sheetViews>
  <sheetFormatPr defaultColWidth="9" defaultRowHeight="14.25" outlineLevelCol="5"/>
  <cols>
    <col min="3" max="3" width="9.375"/>
    <col min="4" max="4" width="13.75" customWidth="1"/>
  </cols>
  <sheetData>
    <row r="1" ht="25" customHeight="1" spans="2:6">
      <c r="B1" s="7" t="s">
        <v>193</v>
      </c>
      <c r="C1" s="7"/>
      <c r="D1" s="7"/>
      <c r="E1" s="7"/>
      <c r="F1" s="7"/>
    </row>
    <row r="3" spans="2:6">
      <c r="C3" s="8" t="s">
        <v>194</v>
      </c>
      <c r="D3" s="8"/>
    </row>
    <row r="4" spans="2:6">
      <c r="C4" s="9">
        <f>SUM('cleaned dataset'!I:I)</f>
        <v>10855.154</v>
      </c>
      <c r="D4" s="9"/>
    </row>
    <row r="6" spans="2:6">
      <c r="C6" s="10" t="s">
        <v>195</v>
      </c>
      <c r="D6" s="10"/>
    </row>
    <row r="7" spans="2:6">
      <c r="C7" s="9">
        <f>COUNT('cleaned dataset'!B:B)</f>
        <v>70</v>
      </c>
      <c r="D7" s="9"/>
    </row>
    <row r="9" spans="2:6">
      <c r="C9" s="10" t="s">
        <v>196</v>
      </c>
      <c r="D9" s="10"/>
    </row>
    <row r="10" spans="2:6">
      <c r="C10" s="9">
        <f>SUM('cleaned dataset'!G:G)</f>
        <v>336</v>
      </c>
      <c r="D10" s="9"/>
    </row>
    <row r="12" spans="2:6">
      <c r="C12" s="10" t="s">
        <v>197</v>
      </c>
      <c r="D12" s="10"/>
    </row>
    <row r="13" spans="2:6">
      <c r="C13" s="9">
        <f>AVERAGE('cleaned dataset'!I:I)</f>
        <v>155.073628571428</v>
      </c>
      <c r="D13" s="9"/>
    </row>
    <row r="15" spans="2:6">
      <c r="C15" s="11" t="s">
        <v>198</v>
      </c>
      <c r="D15" s="11"/>
      <c r="E15" s="11"/>
      <c r="F15" s="11"/>
    </row>
    <row r="16" spans="2:6">
      <c r="C16" s="9">
        <f>SUM(TAX)</f>
        <v>986.832</v>
      </c>
      <c r="D16" s="9"/>
    </row>
    <row r="18" spans="3:4">
      <c r="C18" s="11" t="s">
        <v>199</v>
      </c>
      <c r="D18" s="11"/>
    </row>
    <row r="19" spans="3:4">
      <c r="C19" s="9">
        <f>MAX('cleaned dataset'!I:I)</f>
        <v>329.967</v>
      </c>
      <c r="D19" s="9"/>
    </row>
    <row r="21" spans="3:4">
      <c r="C21" s="11" t="s">
        <v>200</v>
      </c>
      <c r="D21" s="11"/>
    </row>
    <row r="22" spans="3:4">
      <c r="C22" s="9">
        <f>MIN('cleaned dataset'!I:I)</f>
        <v>32.989</v>
      </c>
      <c r="D22" s="9"/>
    </row>
    <row r="24" spans="3:4">
      <c r="C24" s="12" t="s">
        <v>201</v>
      </c>
      <c r="D24" s="12"/>
    </row>
    <row r="25" spans="3:4">
      <c r="C25" s="13">
        <f>AVERAGE('cleaned dataset'!K8:K77)</f>
        <v>3.2</v>
      </c>
      <c r="D25" s="13"/>
    </row>
  </sheetData>
  <mergeCells count="16">
    <mergeCell ref="B1:F1"/>
    <mergeCell ref="C3:D3"/>
    <mergeCell ref="C4:D4"/>
    <mergeCell ref="C6:D6"/>
    <mergeCell ref="C7:D7"/>
    <mergeCell ref="C9:D9"/>
    <mergeCell ref="C10:D10"/>
    <mergeCell ref="C12:D12"/>
    <mergeCell ref="C13:D13"/>
    <mergeCell ref="C16:D16"/>
    <mergeCell ref="C18:D18"/>
    <mergeCell ref="C19:D19"/>
    <mergeCell ref="C21:D21"/>
    <mergeCell ref="C22:D22"/>
    <mergeCell ref="C24:D24"/>
    <mergeCell ref="C25:D2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49"/>
  <sheetViews>
    <sheetView workbookViewId="0">
      <selection activeCell="I67" sqref="I67"/>
    </sheetView>
  </sheetViews>
  <sheetFormatPr defaultColWidth="9" defaultRowHeight="14.25" outlineLevelCol="6"/>
  <cols>
    <col min="1" max="1" width="20.875"/>
    <col min="2" max="3" width="12.625"/>
    <col min="4" max="4" width="11"/>
    <col min="5" max="6" width="15.75"/>
    <col min="7" max="7" width="11"/>
    <col min="8" max="52" width="20.875"/>
    <col min="53" max="53" width="11"/>
  </cols>
  <sheetData>
    <row r="2" spans="1:7">
      <c r="A2" s="1" t="s">
        <v>202</v>
      </c>
      <c r="B2" s="2"/>
      <c r="C2" s="2"/>
      <c r="D2" s="2"/>
      <c r="E2" s="2"/>
      <c r="F2" s="2"/>
      <c r="G2" s="2"/>
    </row>
    <row r="3" spans="1:7">
      <c r="A3" s="1"/>
      <c r="B3" s="2"/>
      <c r="C3" s="2"/>
      <c r="D3" s="2"/>
      <c r="E3" s="2"/>
      <c r="F3" s="2"/>
      <c r="G3" s="2"/>
    </row>
    <row r="4" spans="1:7">
      <c r="A4" t="s">
        <v>203</v>
      </c>
      <c r="B4" t="s">
        <v>8</v>
      </c>
    </row>
    <row r="5" spans="1:7">
      <c r="A5" s="3" t="s">
        <v>5</v>
      </c>
      <c r="B5">
        <v>1</v>
      </c>
      <c r="C5">
        <v>2</v>
      </c>
      <c r="D5">
        <v>3</v>
      </c>
      <c r="E5">
        <v>4</v>
      </c>
      <c r="F5">
        <v>5</v>
      </c>
      <c r="G5" t="s">
        <v>204</v>
      </c>
    </row>
    <row r="6" spans="1:7">
      <c r="A6" t="s">
        <v>42</v>
      </c>
      <c r="B6" s="3">
        <v>164.989</v>
      </c>
      <c r="C6" s="3"/>
      <c r="D6" s="3"/>
      <c r="E6" s="3"/>
      <c r="F6" s="3"/>
      <c r="G6" s="3">
        <v>164.989</v>
      </c>
    </row>
    <row r="7" spans="1:7">
      <c r="A7" t="s">
        <v>54</v>
      </c>
      <c r="B7" s="3"/>
      <c r="C7" s="3"/>
      <c r="D7" s="3">
        <v>164.967</v>
      </c>
      <c r="E7" s="3"/>
      <c r="F7" s="3"/>
      <c r="G7" s="3">
        <v>164.967</v>
      </c>
    </row>
    <row r="8" spans="1:7">
      <c r="A8" t="s">
        <v>56</v>
      </c>
      <c r="B8" s="3">
        <v>142.989</v>
      </c>
      <c r="C8" s="3"/>
      <c r="D8" s="3"/>
      <c r="E8" s="3"/>
      <c r="F8" s="3"/>
      <c r="G8" s="3">
        <v>142.989</v>
      </c>
    </row>
    <row r="9" spans="1:7">
      <c r="A9" t="s">
        <v>28</v>
      </c>
      <c r="B9" s="3">
        <v>98.989</v>
      </c>
      <c r="C9" s="3"/>
      <c r="D9" s="3"/>
      <c r="E9" s="3"/>
      <c r="F9" s="3"/>
      <c r="G9" s="3">
        <v>98.989</v>
      </c>
    </row>
    <row r="10" spans="1:7">
      <c r="A10" t="s">
        <v>110</v>
      </c>
      <c r="B10" s="3"/>
      <c r="C10" s="3">
        <v>153.978</v>
      </c>
      <c r="D10" s="3"/>
      <c r="E10" s="3">
        <v>87.956</v>
      </c>
      <c r="F10" s="3"/>
      <c r="G10" s="3">
        <v>241.934</v>
      </c>
    </row>
    <row r="11" spans="1:7">
      <c r="A11" t="s">
        <v>83</v>
      </c>
      <c r="B11" s="3">
        <v>219.989</v>
      </c>
      <c r="C11" s="3"/>
      <c r="D11" s="3"/>
      <c r="E11" s="3"/>
      <c r="F11" s="3"/>
      <c r="G11" s="3">
        <v>219.989</v>
      </c>
    </row>
    <row r="12" spans="1:7">
      <c r="A12" t="s">
        <v>95</v>
      </c>
      <c r="B12" s="3">
        <v>164.989</v>
      </c>
      <c r="C12" s="3"/>
      <c r="D12" s="3">
        <v>131.967</v>
      </c>
      <c r="E12" s="3"/>
      <c r="F12" s="3"/>
      <c r="G12" s="3">
        <v>296.956</v>
      </c>
    </row>
    <row r="13" spans="1:7">
      <c r="A13" t="s">
        <v>24</v>
      </c>
      <c r="B13" s="3"/>
      <c r="C13" s="3"/>
      <c r="D13" s="3">
        <v>131.967</v>
      </c>
      <c r="E13" s="3"/>
      <c r="F13" s="3"/>
      <c r="G13" s="3">
        <v>131.967</v>
      </c>
    </row>
    <row r="14" spans="1:7">
      <c r="A14" t="s">
        <v>48</v>
      </c>
      <c r="B14" s="3">
        <v>219.989</v>
      </c>
      <c r="C14" s="3"/>
      <c r="D14" s="3"/>
      <c r="E14" s="3"/>
      <c r="F14" s="3"/>
      <c r="G14" s="3">
        <v>219.989</v>
      </c>
    </row>
    <row r="15" spans="1:7">
      <c r="A15" t="s">
        <v>67</v>
      </c>
      <c r="B15" s="3"/>
      <c r="C15" s="3"/>
      <c r="D15" s="3"/>
      <c r="E15" s="3"/>
      <c r="F15" s="3">
        <v>164.945</v>
      </c>
      <c r="G15" s="3">
        <v>164.945</v>
      </c>
    </row>
    <row r="16" spans="1:7">
      <c r="A16" t="s">
        <v>75</v>
      </c>
      <c r="B16" s="3"/>
      <c r="C16" s="3"/>
      <c r="D16" s="3"/>
      <c r="E16" s="3">
        <v>87.956</v>
      </c>
      <c r="F16" s="3"/>
      <c r="G16" s="3">
        <v>87.956</v>
      </c>
    </row>
    <row r="17" spans="1:7">
      <c r="A17" t="s">
        <v>118</v>
      </c>
      <c r="B17" s="3"/>
      <c r="C17" s="3">
        <v>175.978</v>
      </c>
      <c r="D17" s="3"/>
      <c r="E17" s="3"/>
      <c r="F17" s="3"/>
      <c r="G17" s="3">
        <v>175.978</v>
      </c>
    </row>
    <row r="18" spans="1:7">
      <c r="A18" t="s">
        <v>102</v>
      </c>
      <c r="B18" s="3"/>
      <c r="C18" s="3"/>
      <c r="D18" s="3">
        <v>164.967</v>
      </c>
      <c r="E18" s="3"/>
      <c r="F18" s="3">
        <v>164.945</v>
      </c>
      <c r="G18" s="3">
        <v>329.912</v>
      </c>
    </row>
    <row r="19" spans="1:7">
      <c r="A19" t="s">
        <v>20</v>
      </c>
      <c r="B19" s="3">
        <v>472.967</v>
      </c>
      <c r="C19" s="3"/>
      <c r="D19" s="3"/>
      <c r="E19" s="3"/>
      <c r="F19" s="3"/>
      <c r="G19" s="3">
        <v>472.967</v>
      </c>
    </row>
    <row r="20" spans="1:7">
      <c r="A20" t="s">
        <v>18</v>
      </c>
      <c r="B20" s="3"/>
      <c r="C20" s="3">
        <v>153.978</v>
      </c>
      <c r="D20" s="3"/>
      <c r="E20" s="3">
        <v>175.912</v>
      </c>
      <c r="F20" s="3"/>
      <c r="G20" s="3">
        <v>329.89</v>
      </c>
    </row>
    <row r="21" spans="1:7">
      <c r="A21" t="s">
        <v>65</v>
      </c>
      <c r="B21" s="3">
        <v>219.989</v>
      </c>
      <c r="C21" s="3"/>
      <c r="D21" s="3"/>
      <c r="E21" s="3"/>
      <c r="F21" s="3"/>
      <c r="G21" s="3">
        <v>219.989</v>
      </c>
    </row>
    <row r="22" spans="1:7">
      <c r="A22" t="s">
        <v>108</v>
      </c>
      <c r="B22" s="3">
        <v>307.978</v>
      </c>
      <c r="C22" s="3"/>
      <c r="D22" s="3"/>
      <c r="E22" s="3"/>
      <c r="F22" s="3"/>
      <c r="G22" s="3">
        <v>307.978</v>
      </c>
    </row>
    <row r="23" spans="1:7">
      <c r="A23" t="s">
        <v>81</v>
      </c>
      <c r="B23" s="3"/>
      <c r="C23" s="3"/>
      <c r="D23" s="3">
        <v>131.967</v>
      </c>
      <c r="E23" s="3"/>
      <c r="F23" s="3"/>
      <c r="G23" s="3">
        <v>131.967</v>
      </c>
    </row>
    <row r="24" spans="1:7">
      <c r="A24" t="s">
        <v>44</v>
      </c>
      <c r="B24" s="3"/>
      <c r="C24" s="3">
        <v>153.978</v>
      </c>
      <c r="D24" s="3"/>
      <c r="E24" s="3"/>
      <c r="F24" s="3"/>
      <c r="G24" s="3">
        <v>153.978</v>
      </c>
    </row>
    <row r="25" spans="1:7">
      <c r="A25" t="s">
        <v>14</v>
      </c>
      <c r="B25" s="3">
        <v>32.989</v>
      </c>
      <c r="C25" s="3"/>
      <c r="D25" s="3"/>
      <c r="E25" s="3"/>
      <c r="F25" s="3"/>
      <c r="G25" s="3">
        <v>32.989</v>
      </c>
    </row>
    <row r="26" spans="1:7">
      <c r="A26" t="s">
        <v>50</v>
      </c>
      <c r="B26" s="3">
        <v>219.989</v>
      </c>
      <c r="C26" s="3">
        <v>153.978</v>
      </c>
      <c r="D26" s="3"/>
      <c r="E26" s="3"/>
      <c r="F26" s="3">
        <v>164.945</v>
      </c>
      <c r="G26" s="3">
        <v>538.912</v>
      </c>
    </row>
    <row r="27" spans="1:7">
      <c r="A27" t="s">
        <v>112</v>
      </c>
      <c r="B27" s="3">
        <v>164.989</v>
      </c>
      <c r="C27" s="3"/>
      <c r="D27" s="3">
        <v>131.967</v>
      </c>
      <c r="E27" s="3"/>
      <c r="F27" s="3"/>
      <c r="G27" s="3">
        <v>296.956</v>
      </c>
    </row>
    <row r="28" spans="1:7">
      <c r="A28" t="s">
        <v>69</v>
      </c>
      <c r="B28" s="3"/>
      <c r="C28" s="3">
        <v>175.978</v>
      </c>
      <c r="D28" s="3"/>
      <c r="E28" s="3"/>
      <c r="F28" s="3"/>
      <c r="G28" s="3">
        <v>175.978</v>
      </c>
    </row>
    <row r="29" spans="1:7">
      <c r="A29" t="s">
        <v>85</v>
      </c>
      <c r="B29" s="3"/>
      <c r="C29" s="3"/>
      <c r="D29" s="3"/>
      <c r="E29" s="3"/>
      <c r="F29" s="3">
        <v>164.945</v>
      </c>
      <c r="G29" s="3">
        <v>164.945</v>
      </c>
    </row>
    <row r="30" spans="1:7">
      <c r="A30" t="s">
        <v>38</v>
      </c>
      <c r="B30" s="3">
        <v>142.989</v>
      </c>
      <c r="C30" s="3"/>
      <c r="D30" s="3"/>
      <c r="E30" s="3"/>
      <c r="F30" s="3"/>
      <c r="G30" s="3">
        <v>142.989</v>
      </c>
    </row>
    <row r="31" spans="1:7">
      <c r="A31" t="s">
        <v>73</v>
      </c>
      <c r="B31" s="3">
        <v>142.989</v>
      </c>
      <c r="C31" s="3"/>
      <c r="D31" s="3"/>
      <c r="E31" s="3"/>
      <c r="F31" s="3"/>
      <c r="G31" s="3">
        <v>142.989</v>
      </c>
    </row>
    <row r="32" spans="1:7">
      <c r="A32" t="s">
        <v>58</v>
      </c>
      <c r="B32" s="3"/>
      <c r="C32" s="3"/>
      <c r="D32" s="3">
        <v>164.967</v>
      </c>
      <c r="E32" s="3">
        <v>87.956</v>
      </c>
      <c r="F32" s="3"/>
      <c r="G32" s="3">
        <v>252.923</v>
      </c>
    </row>
    <row r="33" spans="1:7">
      <c r="A33" t="s">
        <v>116</v>
      </c>
      <c r="B33" s="3"/>
      <c r="C33" s="3"/>
      <c r="D33" s="3"/>
      <c r="E33" s="3"/>
      <c r="F33" s="3">
        <v>164.945</v>
      </c>
      <c r="G33" s="3">
        <v>164.945</v>
      </c>
    </row>
    <row r="34" spans="1:7">
      <c r="A34" t="s">
        <v>100</v>
      </c>
      <c r="B34" s="3">
        <v>219.989</v>
      </c>
      <c r="C34" s="3">
        <v>175.978</v>
      </c>
      <c r="D34" s="3"/>
      <c r="E34" s="3"/>
      <c r="F34" s="3"/>
      <c r="G34" s="3">
        <v>395.967</v>
      </c>
    </row>
    <row r="35" spans="1:7">
      <c r="A35" t="s">
        <v>12</v>
      </c>
      <c r="B35" s="3"/>
      <c r="C35" s="3">
        <v>109.978</v>
      </c>
      <c r="D35" s="3"/>
      <c r="E35" s="3"/>
      <c r="F35" s="3"/>
      <c r="G35" s="3">
        <v>109.978</v>
      </c>
    </row>
    <row r="36" spans="1:7">
      <c r="A36" t="s">
        <v>30</v>
      </c>
      <c r="B36" s="3">
        <v>219.989</v>
      </c>
      <c r="C36" s="3"/>
      <c r="D36" s="3"/>
      <c r="E36" s="3"/>
      <c r="F36" s="3"/>
      <c r="G36" s="3">
        <v>219.989</v>
      </c>
    </row>
    <row r="37" spans="1:7">
      <c r="A37" t="s">
        <v>46</v>
      </c>
      <c r="B37" s="3"/>
      <c r="C37" s="3"/>
      <c r="D37" s="3">
        <v>131.967</v>
      </c>
      <c r="E37" s="3"/>
      <c r="F37" s="3"/>
      <c r="G37" s="3">
        <v>131.967</v>
      </c>
    </row>
    <row r="38" spans="1:7">
      <c r="A38" t="s">
        <v>22</v>
      </c>
      <c r="B38" s="3"/>
      <c r="C38" s="3">
        <v>175.978</v>
      </c>
      <c r="D38" s="3"/>
      <c r="E38" s="3"/>
      <c r="F38" s="3"/>
      <c r="G38" s="3">
        <v>175.978</v>
      </c>
    </row>
    <row r="39" spans="1:7">
      <c r="A39" t="s">
        <v>92</v>
      </c>
      <c r="B39" s="3">
        <v>307.978</v>
      </c>
      <c r="C39" s="3"/>
      <c r="D39" s="3"/>
      <c r="E39" s="3"/>
      <c r="F39" s="3"/>
      <c r="G39" s="3">
        <v>307.978</v>
      </c>
    </row>
    <row r="40" spans="1:7">
      <c r="A40" t="s">
        <v>79</v>
      </c>
      <c r="B40" s="3"/>
      <c r="C40" s="3">
        <v>153.978</v>
      </c>
      <c r="D40" s="3"/>
      <c r="E40" s="3"/>
      <c r="F40" s="3"/>
      <c r="G40" s="3">
        <v>153.978</v>
      </c>
    </row>
    <row r="41" spans="1:7">
      <c r="A41" t="s">
        <v>63</v>
      </c>
      <c r="B41" s="3"/>
      <c r="C41" s="3"/>
      <c r="D41" s="3">
        <v>131.967</v>
      </c>
      <c r="E41" s="3"/>
      <c r="F41" s="3"/>
      <c r="G41" s="3">
        <v>131.967</v>
      </c>
    </row>
    <row r="42" spans="1:7">
      <c r="A42" t="s">
        <v>106</v>
      </c>
      <c r="B42" s="3"/>
      <c r="C42" s="3"/>
      <c r="D42" s="3">
        <v>164.967</v>
      </c>
      <c r="E42" s="3">
        <v>87.956</v>
      </c>
      <c r="F42" s="3"/>
      <c r="G42" s="3">
        <v>252.923</v>
      </c>
    </row>
    <row r="43" spans="1:7">
      <c r="A43" t="s">
        <v>40</v>
      </c>
      <c r="B43" s="3"/>
      <c r="C43" s="3"/>
      <c r="D43" s="3"/>
      <c r="E43" s="3">
        <v>87.956</v>
      </c>
      <c r="F43" s="3"/>
      <c r="G43" s="3">
        <v>87.956</v>
      </c>
    </row>
    <row r="44" spans="1:7">
      <c r="A44" t="s">
        <v>34</v>
      </c>
      <c r="B44" s="3"/>
      <c r="C44" s="3">
        <v>175.978</v>
      </c>
      <c r="D44" s="3"/>
      <c r="E44" s="3"/>
      <c r="F44" s="3"/>
      <c r="G44" s="3">
        <v>175.978</v>
      </c>
    </row>
    <row r="45" spans="1:7">
      <c r="A45" t="s">
        <v>114</v>
      </c>
      <c r="B45" s="3">
        <v>219.989</v>
      </c>
      <c r="C45" s="3"/>
      <c r="D45" s="3"/>
      <c r="E45" s="3"/>
      <c r="F45" s="3"/>
      <c r="G45" s="3">
        <v>219.989</v>
      </c>
    </row>
    <row r="46" spans="1:7">
      <c r="A46" t="s">
        <v>52</v>
      </c>
      <c r="B46" s="3"/>
      <c r="C46" s="3">
        <v>175.978</v>
      </c>
      <c r="D46" s="3"/>
      <c r="E46" s="3"/>
      <c r="F46" s="3"/>
      <c r="G46" s="3">
        <v>175.978</v>
      </c>
    </row>
    <row r="47" spans="1:7">
      <c r="A47" t="s">
        <v>16</v>
      </c>
      <c r="B47" s="3"/>
      <c r="C47" s="3">
        <v>175.978</v>
      </c>
      <c r="D47" s="3">
        <v>329.967</v>
      </c>
      <c r="E47" s="3"/>
      <c r="F47" s="3"/>
      <c r="G47" s="3">
        <v>505.945</v>
      </c>
    </row>
    <row r="48" spans="1:7">
      <c r="A48" t="s">
        <v>98</v>
      </c>
      <c r="B48" s="3"/>
      <c r="C48" s="3"/>
      <c r="D48" s="3">
        <v>131.967</v>
      </c>
      <c r="E48" s="3"/>
      <c r="F48" s="3">
        <v>164.945</v>
      </c>
      <c r="G48" s="3">
        <v>296.912</v>
      </c>
    </row>
    <row r="49" spans="1:7">
      <c r="A49" t="s">
        <v>71</v>
      </c>
      <c r="B49" s="3"/>
      <c r="C49" s="3"/>
      <c r="D49" s="3">
        <v>164.967</v>
      </c>
      <c r="E49" s="3"/>
      <c r="F49" s="3"/>
      <c r="G49" s="3">
        <v>164.967</v>
      </c>
    </row>
    <row r="50" spans="1:7">
      <c r="A50" t="s">
        <v>36</v>
      </c>
      <c r="B50" s="3"/>
      <c r="C50" s="3"/>
      <c r="D50" s="3">
        <v>164.967</v>
      </c>
      <c r="E50" s="3"/>
      <c r="F50" s="3"/>
      <c r="G50" s="3">
        <v>164.967</v>
      </c>
    </row>
    <row r="51" spans="1:7">
      <c r="A51" t="s">
        <v>26</v>
      </c>
      <c r="B51" s="3"/>
      <c r="C51" s="3">
        <v>153.978</v>
      </c>
      <c r="D51" s="3"/>
      <c r="E51" s="3"/>
      <c r="F51" s="3"/>
      <c r="G51" s="3">
        <v>153.978</v>
      </c>
    </row>
    <row r="52" spans="1:7">
      <c r="A52" t="s">
        <v>77</v>
      </c>
      <c r="B52" s="3">
        <v>164.989</v>
      </c>
      <c r="C52" s="3"/>
      <c r="D52" s="3"/>
      <c r="E52" s="3"/>
      <c r="F52" s="3"/>
      <c r="G52" s="3">
        <v>164.989</v>
      </c>
    </row>
    <row r="53" spans="1:7">
      <c r="A53" t="s">
        <v>104</v>
      </c>
      <c r="B53" s="3">
        <v>142.989</v>
      </c>
      <c r="C53" s="3">
        <v>175.978</v>
      </c>
      <c r="D53" s="3"/>
      <c r="E53" s="3"/>
      <c r="F53" s="3"/>
      <c r="G53" s="3">
        <v>318.967</v>
      </c>
    </row>
    <row r="54" spans="1:7">
      <c r="A54" t="s">
        <v>90</v>
      </c>
      <c r="B54" s="3"/>
      <c r="C54" s="3"/>
      <c r="D54" s="3">
        <v>164.967</v>
      </c>
      <c r="E54" s="3">
        <v>87.956</v>
      </c>
      <c r="F54" s="3"/>
      <c r="G54" s="3">
        <v>252.923</v>
      </c>
    </row>
    <row r="55" spans="1:7">
      <c r="A55" t="s">
        <v>61</v>
      </c>
      <c r="B55" s="3"/>
      <c r="C55" s="3">
        <v>153.978</v>
      </c>
      <c r="D55" s="3"/>
      <c r="E55" s="3"/>
      <c r="F55" s="3"/>
      <c r="G55" s="3">
        <v>153.978</v>
      </c>
    </row>
    <row r="56" spans="1:7">
      <c r="A56" t="s">
        <v>32</v>
      </c>
      <c r="B56" s="3"/>
      <c r="C56" s="3"/>
      <c r="D56" s="3"/>
      <c r="E56" s="3"/>
      <c r="F56" s="3">
        <v>164.945</v>
      </c>
      <c r="G56" s="3">
        <v>164.945</v>
      </c>
    </row>
    <row r="57" spans="1:7">
      <c r="A57" s="3" t="s">
        <v>204</v>
      </c>
      <c r="B57" s="3">
        <v>3992.736</v>
      </c>
      <c r="C57" s="3">
        <v>2595.648</v>
      </c>
      <c r="D57" s="3">
        <v>2408.505</v>
      </c>
      <c r="E57" s="3">
        <v>703.648</v>
      </c>
      <c r="F57" s="3">
        <v>1154.615</v>
      </c>
      <c r="G57" s="3">
        <v>10855.152</v>
      </c>
    </row>
    <row r="58" spans="1:7">
      <c r="A58" s="3"/>
      <c r="B58" s="3"/>
      <c r="C58" s="3"/>
      <c r="D58" s="3"/>
      <c r="E58" s="3"/>
      <c r="F58" s="3"/>
      <c r="G58" s="3"/>
    </row>
    <row r="59" spans="1:7">
      <c r="A59" s="4" t="s">
        <v>205</v>
      </c>
      <c r="B59" s="4"/>
      <c r="C59" s="4"/>
      <c r="D59" s="4"/>
      <c r="E59" s="3"/>
      <c r="F59" s="3"/>
      <c r="G59" s="3"/>
    </row>
    <row r="60" spans="1:7">
      <c r="A60" s="4"/>
      <c r="B60" s="4"/>
      <c r="C60" s="4"/>
      <c r="D60" s="4"/>
    </row>
    <row r="61" spans="1:7">
      <c r="A61" t="s">
        <v>203</v>
      </c>
      <c r="B61" t="s">
        <v>4</v>
      </c>
    </row>
    <row r="62" spans="1:7">
      <c r="A62" t="s">
        <v>5</v>
      </c>
      <c r="B62" t="s">
        <v>206</v>
      </c>
      <c r="C62" t="s">
        <v>207</v>
      </c>
      <c r="D62" t="s">
        <v>204</v>
      </c>
    </row>
    <row r="63" spans="1:7">
      <c r="A63" t="s">
        <v>42</v>
      </c>
      <c r="B63">
        <v>164.989</v>
      </c>
      <c r="D63">
        <v>164.989</v>
      </c>
    </row>
    <row r="64" spans="1:7">
      <c r="A64" t="s">
        <v>54</v>
      </c>
      <c r="B64">
        <v>164.967</v>
      </c>
      <c r="D64">
        <v>164.967</v>
      </c>
    </row>
    <row r="65" spans="1:4">
      <c r="A65" t="s">
        <v>56</v>
      </c>
      <c r="B65">
        <v>142.989</v>
      </c>
      <c r="D65">
        <v>142.989</v>
      </c>
    </row>
    <row r="66" spans="1:4">
      <c r="A66" t="s">
        <v>28</v>
      </c>
      <c r="B66">
        <v>98.989</v>
      </c>
      <c r="D66">
        <v>98.989</v>
      </c>
    </row>
    <row r="67" spans="1:4">
      <c r="A67" t="s">
        <v>110</v>
      </c>
      <c r="B67">
        <v>153.978</v>
      </c>
      <c r="C67">
        <v>87.956</v>
      </c>
      <c r="D67">
        <v>241.934</v>
      </c>
    </row>
    <row r="68" spans="1:4">
      <c r="A68" t="s">
        <v>83</v>
      </c>
      <c r="B68">
        <v>219.989</v>
      </c>
      <c r="D68">
        <v>219.989</v>
      </c>
    </row>
    <row r="69" spans="1:4">
      <c r="A69" t="s">
        <v>95</v>
      </c>
      <c r="B69">
        <v>296.956</v>
      </c>
      <c r="D69">
        <v>296.956</v>
      </c>
    </row>
    <row r="70" spans="1:4">
      <c r="A70" t="s">
        <v>24</v>
      </c>
      <c r="B70">
        <v>131.967</v>
      </c>
      <c r="D70">
        <v>131.967</v>
      </c>
    </row>
    <row r="71" spans="1:4">
      <c r="A71" t="s">
        <v>48</v>
      </c>
      <c r="B71">
        <v>219.989</v>
      </c>
      <c r="D71">
        <v>219.989</v>
      </c>
    </row>
    <row r="72" spans="1:4">
      <c r="A72" t="s">
        <v>67</v>
      </c>
      <c r="B72">
        <v>164.945</v>
      </c>
      <c r="D72">
        <v>164.945</v>
      </c>
    </row>
    <row r="73" spans="1:4">
      <c r="A73" t="s">
        <v>75</v>
      </c>
      <c r="B73">
        <v>87.956</v>
      </c>
      <c r="D73">
        <v>87.956</v>
      </c>
    </row>
    <row r="74" spans="1:4">
      <c r="A74" t="s">
        <v>118</v>
      </c>
      <c r="B74">
        <v>175.978</v>
      </c>
      <c r="D74">
        <v>175.978</v>
      </c>
    </row>
    <row r="75" spans="1:4">
      <c r="A75" t="s">
        <v>102</v>
      </c>
      <c r="B75">
        <v>164.967</v>
      </c>
      <c r="C75">
        <v>164.945</v>
      </c>
      <c r="D75">
        <v>329.912</v>
      </c>
    </row>
    <row r="76" spans="1:4">
      <c r="A76" t="s">
        <v>20</v>
      </c>
      <c r="B76">
        <v>472.967</v>
      </c>
      <c r="D76">
        <v>472.967</v>
      </c>
    </row>
    <row r="77" spans="1:4">
      <c r="A77" t="s">
        <v>18</v>
      </c>
      <c r="B77">
        <v>329.89</v>
      </c>
      <c r="D77">
        <v>329.89</v>
      </c>
    </row>
    <row r="78" spans="1:4">
      <c r="A78" t="s">
        <v>65</v>
      </c>
      <c r="B78">
        <v>219.989</v>
      </c>
      <c r="D78">
        <v>219.989</v>
      </c>
    </row>
    <row r="79" spans="1:4">
      <c r="A79" t="s">
        <v>108</v>
      </c>
      <c r="B79">
        <v>164.989</v>
      </c>
      <c r="C79">
        <v>142.989</v>
      </c>
      <c r="D79">
        <v>307.978</v>
      </c>
    </row>
    <row r="80" spans="1:4">
      <c r="A80" t="s">
        <v>81</v>
      </c>
      <c r="B80">
        <v>131.967</v>
      </c>
      <c r="D80">
        <v>131.967</v>
      </c>
    </row>
    <row r="81" spans="1:4">
      <c r="A81" t="s">
        <v>44</v>
      </c>
      <c r="B81">
        <v>153.978</v>
      </c>
      <c r="D81">
        <v>153.978</v>
      </c>
    </row>
    <row r="82" spans="1:4">
      <c r="A82" t="s">
        <v>14</v>
      </c>
      <c r="B82">
        <v>32.989</v>
      </c>
      <c r="D82">
        <v>32.989</v>
      </c>
    </row>
    <row r="83" spans="1:4">
      <c r="A83" t="s">
        <v>50</v>
      </c>
      <c r="B83">
        <v>538.912</v>
      </c>
      <c r="D83">
        <v>538.912</v>
      </c>
    </row>
    <row r="84" spans="1:4">
      <c r="A84" t="s">
        <v>112</v>
      </c>
      <c r="B84">
        <v>131.967</v>
      </c>
      <c r="C84">
        <v>164.989</v>
      </c>
      <c r="D84">
        <v>296.956</v>
      </c>
    </row>
    <row r="85" spans="1:4">
      <c r="A85" t="s">
        <v>69</v>
      </c>
      <c r="B85">
        <v>175.978</v>
      </c>
      <c r="D85">
        <v>175.978</v>
      </c>
    </row>
    <row r="86" spans="1:4">
      <c r="A86" t="s">
        <v>85</v>
      </c>
      <c r="B86">
        <v>164.945</v>
      </c>
      <c r="D86">
        <v>164.945</v>
      </c>
    </row>
    <row r="87" spans="1:4">
      <c r="A87" t="s">
        <v>38</v>
      </c>
      <c r="B87">
        <v>142.989</v>
      </c>
      <c r="D87">
        <v>142.989</v>
      </c>
    </row>
    <row r="88" spans="1:4">
      <c r="A88" t="s">
        <v>73</v>
      </c>
      <c r="B88">
        <v>142.989</v>
      </c>
      <c r="D88">
        <v>142.989</v>
      </c>
    </row>
    <row r="89" spans="1:4">
      <c r="A89" t="s">
        <v>58</v>
      </c>
      <c r="B89">
        <v>252.923</v>
      </c>
      <c r="D89">
        <v>252.923</v>
      </c>
    </row>
    <row r="90" spans="1:4">
      <c r="A90" t="s">
        <v>116</v>
      </c>
      <c r="B90">
        <v>164.945</v>
      </c>
      <c r="D90">
        <v>164.945</v>
      </c>
    </row>
    <row r="91" spans="1:4">
      <c r="A91" t="s">
        <v>100</v>
      </c>
      <c r="B91">
        <v>175.978</v>
      </c>
      <c r="C91">
        <v>219.989</v>
      </c>
      <c r="D91">
        <v>395.967</v>
      </c>
    </row>
    <row r="92" spans="1:4">
      <c r="A92" t="s">
        <v>12</v>
      </c>
      <c r="B92">
        <v>109.978</v>
      </c>
      <c r="D92">
        <v>109.978</v>
      </c>
    </row>
    <row r="93" spans="1:4">
      <c r="A93" t="s">
        <v>30</v>
      </c>
      <c r="B93">
        <v>219.989</v>
      </c>
      <c r="D93">
        <v>219.989</v>
      </c>
    </row>
    <row r="94" spans="1:4">
      <c r="A94" t="s">
        <v>46</v>
      </c>
      <c r="B94">
        <v>131.967</v>
      </c>
      <c r="D94">
        <v>131.967</v>
      </c>
    </row>
    <row r="95" spans="1:4">
      <c r="A95" t="s">
        <v>22</v>
      </c>
      <c r="B95">
        <v>175.978</v>
      </c>
      <c r="D95">
        <v>175.978</v>
      </c>
    </row>
    <row r="96" spans="1:4">
      <c r="A96" t="s">
        <v>92</v>
      </c>
      <c r="B96">
        <v>307.978</v>
      </c>
      <c r="D96">
        <v>307.978</v>
      </c>
    </row>
    <row r="97" spans="1:4">
      <c r="A97" t="s">
        <v>79</v>
      </c>
      <c r="B97">
        <v>153.978</v>
      </c>
      <c r="D97">
        <v>153.978</v>
      </c>
    </row>
    <row r="98" spans="1:4">
      <c r="A98" t="s">
        <v>63</v>
      </c>
      <c r="B98">
        <v>131.967</v>
      </c>
      <c r="D98">
        <v>131.967</v>
      </c>
    </row>
    <row r="99" spans="1:4">
      <c r="A99" t="s">
        <v>106</v>
      </c>
      <c r="B99">
        <v>87.956</v>
      </c>
      <c r="C99">
        <v>164.967</v>
      </c>
      <c r="D99">
        <v>252.923</v>
      </c>
    </row>
    <row r="100" spans="1:4">
      <c r="A100" t="s">
        <v>40</v>
      </c>
      <c r="B100">
        <v>87.956</v>
      </c>
      <c r="D100">
        <v>87.956</v>
      </c>
    </row>
    <row r="101" spans="1:4">
      <c r="A101" t="s">
        <v>34</v>
      </c>
      <c r="B101">
        <v>175.978</v>
      </c>
      <c r="D101">
        <v>175.978</v>
      </c>
    </row>
    <row r="102" spans="1:4">
      <c r="A102" t="s">
        <v>114</v>
      </c>
      <c r="B102">
        <v>219.989</v>
      </c>
      <c r="D102">
        <v>219.989</v>
      </c>
    </row>
    <row r="103" spans="1:4">
      <c r="A103" t="s">
        <v>52</v>
      </c>
      <c r="B103">
        <v>175.978</v>
      </c>
      <c r="D103">
        <v>175.978</v>
      </c>
    </row>
    <row r="104" spans="1:4">
      <c r="A104" t="s">
        <v>16</v>
      </c>
      <c r="B104">
        <v>505.945</v>
      </c>
      <c r="D104">
        <v>505.945</v>
      </c>
    </row>
    <row r="105" spans="1:4">
      <c r="A105" t="s">
        <v>98</v>
      </c>
      <c r="B105">
        <v>164.945</v>
      </c>
      <c r="C105">
        <v>131.967</v>
      </c>
      <c r="D105">
        <v>296.912</v>
      </c>
    </row>
    <row r="106" spans="1:4">
      <c r="A106" t="s">
        <v>71</v>
      </c>
      <c r="B106">
        <v>164.967</v>
      </c>
      <c r="D106">
        <v>164.967</v>
      </c>
    </row>
    <row r="107" spans="1:4">
      <c r="A107" t="s">
        <v>36</v>
      </c>
      <c r="B107">
        <v>164.967</v>
      </c>
      <c r="D107">
        <v>164.967</v>
      </c>
    </row>
    <row r="108" spans="1:4">
      <c r="A108" t="s">
        <v>26</v>
      </c>
      <c r="B108">
        <v>153.978</v>
      </c>
      <c r="D108">
        <v>153.978</v>
      </c>
    </row>
    <row r="109" spans="1:4">
      <c r="A109" t="s">
        <v>77</v>
      </c>
      <c r="B109">
        <v>164.989</v>
      </c>
      <c r="D109">
        <v>164.989</v>
      </c>
    </row>
    <row r="110" spans="1:4">
      <c r="A110" t="s">
        <v>104</v>
      </c>
      <c r="B110">
        <v>142.989</v>
      </c>
      <c r="C110">
        <v>175.978</v>
      </c>
      <c r="D110">
        <v>318.967</v>
      </c>
    </row>
    <row r="111" spans="1:4">
      <c r="A111" t="s">
        <v>90</v>
      </c>
      <c r="B111">
        <v>252.923</v>
      </c>
      <c r="D111">
        <v>252.923</v>
      </c>
    </row>
    <row r="112" spans="1:4">
      <c r="A112" t="s">
        <v>61</v>
      </c>
      <c r="B112">
        <v>153.978</v>
      </c>
      <c r="D112">
        <v>153.978</v>
      </c>
    </row>
    <row r="113" spans="1:4">
      <c r="A113" t="s">
        <v>32</v>
      </c>
      <c r="B113">
        <v>164.945</v>
      </c>
      <c r="D113">
        <v>164.945</v>
      </c>
    </row>
    <row r="114" spans="1:4">
      <c r="A114" t="s">
        <v>204</v>
      </c>
      <c r="B114">
        <v>9601.372</v>
      </c>
      <c r="C114">
        <v>1253.78</v>
      </c>
      <c r="D114">
        <v>10855.152</v>
      </c>
    </row>
    <row r="116" spans="1:4">
      <c r="A116" s="4" t="s">
        <v>208</v>
      </c>
      <c r="B116" s="5"/>
    </row>
    <row r="117" spans="1:4">
      <c r="A117" s="5"/>
      <c r="B117" s="5"/>
    </row>
    <row r="118" spans="1:4">
      <c r="A118" t="s">
        <v>5</v>
      </c>
      <c r="B118" t="s">
        <v>203</v>
      </c>
    </row>
    <row r="119" spans="1:4">
      <c r="A119" t="s">
        <v>95</v>
      </c>
      <c r="B119">
        <v>296.956</v>
      </c>
    </row>
    <row r="120" spans="1:4">
      <c r="A120" t="s">
        <v>102</v>
      </c>
      <c r="B120">
        <v>329.912</v>
      </c>
    </row>
    <row r="121" spans="1:4">
      <c r="A121" t="s">
        <v>20</v>
      </c>
      <c r="B121">
        <v>472.967</v>
      </c>
    </row>
    <row r="122" spans="1:4">
      <c r="A122" t="s">
        <v>18</v>
      </c>
      <c r="B122">
        <v>329.89</v>
      </c>
    </row>
    <row r="123" spans="1:4">
      <c r="A123" t="s">
        <v>108</v>
      </c>
      <c r="B123">
        <v>307.978</v>
      </c>
    </row>
    <row r="124" spans="1:4">
      <c r="A124" t="s">
        <v>50</v>
      </c>
      <c r="B124">
        <v>538.912</v>
      </c>
    </row>
    <row r="125" spans="1:4">
      <c r="A125" t="s">
        <v>112</v>
      </c>
      <c r="B125">
        <v>296.956</v>
      </c>
    </row>
    <row r="126" spans="1:4">
      <c r="A126" t="s">
        <v>100</v>
      </c>
      <c r="B126">
        <v>395.967</v>
      </c>
    </row>
    <row r="127" spans="1:4">
      <c r="A127" t="s">
        <v>92</v>
      </c>
      <c r="B127">
        <v>307.978</v>
      </c>
    </row>
    <row r="128" spans="1:4">
      <c r="A128" t="s">
        <v>16</v>
      </c>
      <c r="B128">
        <v>505.945</v>
      </c>
    </row>
    <row r="129" spans="1:3">
      <c r="A129" t="s">
        <v>104</v>
      </c>
      <c r="B129">
        <v>318.967</v>
      </c>
    </row>
    <row r="130" spans="1:3">
      <c r="A130" t="s">
        <v>204</v>
      </c>
      <c r="B130">
        <v>4102.428</v>
      </c>
    </row>
    <row r="133" spans="1:3">
      <c r="A133" s="4" t="s">
        <v>209</v>
      </c>
      <c r="B133" s="5"/>
      <c r="C133" s="5"/>
    </row>
    <row r="134" spans="1:3">
      <c r="A134" s="5"/>
      <c r="B134" s="5"/>
      <c r="C134" s="5"/>
    </row>
    <row r="135" spans="1:3">
      <c r="A135" t="s">
        <v>5</v>
      </c>
      <c r="B135" t="s">
        <v>210</v>
      </c>
      <c r="C135" t="s">
        <v>203</v>
      </c>
    </row>
    <row r="136" spans="1:3">
      <c r="A136" t="s">
        <v>110</v>
      </c>
      <c r="B136" s="6">
        <v>2</v>
      </c>
      <c r="C136">
        <v>241.934</v>
      </c>
    </row>
    <row r="137" spans="1:3">
      <c r="A137" t="s">
        <v>95</v>
      </c>
      <c r="B137" s="6">
        <v>2</v>
      </c>
      <c r="C137">
        <v>296.956</v>
      </c>
    </row>
    <row r="138" spans="1:3">
      <c r="A138" t="s">
        <v>102</v>
      </c>
      <c r="B138" s="6">
        <v>2</v>
      </c>
      <c r="C138">
        <v>329.912</v>
      </c>
    </row>
    <row r="139" spans="1:3">
      <c r="A139" t="s">
        <v>108</v>
      </c>
      <c r="B139" s="6">
        <v>2</v>
      </c>
      <c r="C139">
        <v>307.978</v>
      </c>
    </row>
    <row r="140" spans="1:3">
      <c r="A140" t="s">
        <v>112</v>
      </c>
      <c r="B140" s="6">
        <v>2</v>
      </c>
      <c r="C140">
        <v>296.956</v>
      </c>
    </row>
    <row r="141" spans="1:3">
      <c r="A141" t="s">
        <v>58</v>
      </c>
      <c r="B141" s="6">
        <v>2</v>
      </c>
      <c r="C141">
        <v>252.923</v>
      </c>
    </row>
    <row r="142" spans="1:3">
      <c r="A142" t="s">
        <v>100</v>
      </c>
      <c r="B142" s="6">
        <v>2</v>
      </c>
      <c r="C142">
        <v>395.967</v>
      </c>
    </row>
    <row r="143" spans="1:3">
      <c r="A143" t="s">
        <v>92</v>
      </c>
      <c r="B143" s="6">
        <v>2</v>
      </c>
      <c r="C143">
        <v>307.978</v>
      </c>
    </row>
    <row r="144" spans="1:3">
      <c r="A144" t="s">
        <v>106</v>
      </c>
      <c r="B144" s="6">
        <v>2</v>
      </c>
      <c r="C144">
        <v>252.923</v>
      </c>
    </row>
    <row r="145" spans="1:3">
      <c r="A145" t="s">
        <v>16</v>
      </c>
      <c r="B145" s="6">
        <v>2</v>
      </c>
      <c r="C145">
        <v>505.945</v>
      </c>
    </row>
    <row r="146" spans="1:3">
      <c r="A146" t="s">
        <v>98</v>
      </c>
      <c r="B146" s="6">
        <v>2</v>
      </c>
      <c r="C146">
        <v>296.912</v>
      </c>
    </row>
    <row r="147" spans="1:3">
      <c r="A147" t="s">
        <v>104</v>
      </c>
      <c r="B147" s="6">
        <v>2</v>
      </c>
      <c r="C147">
        <v>318.967</v>
      </c>
    </row>
    <row r="148" spans="1:3">
      <c r="A148" t="s">
        <v>90</v>
      </c>
      <c r="B148" s="6">
        <v>2</v>
      </c>
      <c r="C148">
        <v>252.923</v>
      </c>
    </row>
    <row r="149" spans="1:3">
      <c r="A149" t="s">
        <v>204</v>
      </c>
      <c r="B149" s="6">
        <v>26</v>
      </c>
      <c r="C149">
        <v>4058.274</v>
      </c>
    </row>
  </sheetData>
  <mergeCells count="4">
    <mergeCell ref="A2:G3"/>
    <mergeCell ref="A59:D60"/>
    <mergeCell ref="A116:B117"/>
    <mergeCell ref="A133:C134"/>
  </mergeCells>
  <pageMargins left="0.75" right="0.75" top="1" bottom="1" header="0.5" footer="0.5"/>
  <headerFooter/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63" zoomScaleNormal="63" topLeftCell="A8" workbookViewId="0">
      <selection activeCell="K53" sqref="K53"/>
    </sheetView>
  </sheetViews>
  <sheetFormatPr defaultColWidth="9" defaultRowHeight="14.2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SuperMarket Sales</vt:lpstr>
      <vt:lpstr>cleaned dataset</vt:lpstr>
      <vt:lpstr>logical functions</vt:lpstr>
      <vt:lpstr>lookup functions</vt:lpstr>
      <vt:lpstr>KPI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Nasrunnisa Nasrunnisa</cp:lastModifiedBy>
  <dcterms:created xsi:type="dcterms:W3CDTF">2024-02-19T11:17:00Z</dcterms:created>
  <dcterms:modified xsi:type="dcterms:W3CDTF">2026-09-08T11:40:32Z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3B555AE97AF44C5893907F45DF5E7ED5_12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